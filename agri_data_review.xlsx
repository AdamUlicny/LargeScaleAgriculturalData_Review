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ump" sheetId="1" r:id="rId5"/>
    <sheet state="visible" name="Sorted" sheetId="2" r:id="rId6"/>
    <sheet state="visible" name="Inputs" sheetId="3" r:id="rId7"/>
  </sheets>
  <definedNames>
    <definedName hidden="1" localSheetId="0" name="_xlnm._FilterDatabase">Dump!$A$1:$Y$86</definedName>
    <definedName hidden="1" localSheetId="1" name="_xlnm._FilterDatabase">Sorted!$A$1:$Y$978</definedName>
    <definedName hidden="1" localSheetId="2" name="_xlnm._FilterDatabase">Inputs!$A$1:$D$994</definedName>
  </definedNames>
  <calcPr/>
</workbook>
</file>

<file path=xl/sharedStrings.xml><?xml version="1.0" encoding="utf-8"?>
<sst xmlns="http://schemas.openxmlformats.org/spreadsheetml/2006/main" count="3408" uniqueCount="1056">
  <si>
    <t>inputName</t>
  </si>
  <si>
    <t>ID</t>
  </si>
  <si>
    <t>inputType</t>
  </si>
  <si>
    <t>inputGroup</t>
  </si>
  <si>
    <t>inputAgency</t>
  </si>
  <si>
    <t>focus</t>
  </si>
  <si>
    <t>focusDetail</t>
  </si>
  <si>
    <t>CBERS</t>
  </si>
  <si>
    <t>focusDetail2</t>
  </si>
  <si>
    <t>inputRemote</t>
  </si>
  <si>
    <t>name</t>
  </si>
  <si>
    <t>landUse</t>
  </si>
  <si>
    <t>CNSA</t>
  </si>
  <si>
    <t>nameShort</t>
  </si>
  <si>
    <t>metric</t>
  </si>
  <si>
    <t>Deimos-1</t>
  </si>
  <si>
    <t>inputSources</t>
  </si>
  <si>
    <t>category</t>
  </si>
  <si>
    <t>numberCitations</t>
  </si>
  <si>
    <t>dataType</t>
  </si>
  <si>
    <t>dataSize</t>
  </si>
  <si>
    <t>accessibility</t>
  </si>
  <si>
    <t>license</t>
  </si>
  <si>
    <t>link</t>
  </si>
  <si>
    <t>citation</t>
  </si>
  <si>
    <t>format</t>
  </si>
  <si>
    <t>resolutionSpatial</t>
  </si>
  <si>
    <t>resolutionKm</t>
  </si>
  <si>
    <t>inputMap</t>
  </si>
  <si>
    <t>extentSpatial</t>
  </si>
  <si>
    <t>timeStep</t>
  </si>
  <si>
    <t>temporalStart</t>
  </si>
  <si>
    <t>inputStat</t>
  </si>
  <si>
    <t>temporalEnd</t>
  </si>
  <si>
    <t>extentTemporal</t>
  </si>
  <si>
    <t>crs</t>
  </si>
  <si>
    <t>notes</t>
  </si>
  <si>
    <t>method</t>
  </si>
  <si>
    <t>agriculture</t>
  </si>
  <si>
    <t>cropland</t>
  </si>
  <si>
    <t>change</t>
  </si>
  <si>
    <t>WorldCereal Active cropland</t>
  </si>
  <si>
    <t>citationShort</t>
  </si>
  <si>
    <t>WorldCereal active cropland</t>
  </si>
  <si>
    <t>Sentinel-2, Sentinel-1, Landsat-8, AgERA5, Copernicus DEM, Ecoregions2017, NASA Harvest, EU LPIS, USDA NASS CDL, GEOGLAM, JECAM, AQUASTAT</t>
  </si>
  <si>
    <t>Deimos-2</t>
  </si>
  <si>
    <t>raster</t>
  </si>
  <si>
    <t>15 GB</t>
  </si>
  <si>
    <t>easy</t>
  </si>
  <si>
    <t>CC BY 4.0</t>
  </si>
  <si>
    <t>ENVISAT</t>
  </si>
  <si>
    <t>continent</t>
  </si>
  <si>
    <t>https://developers.google.com/earth-engine/datasets/catalog/ESA_WorldCereal_2021_MARKERS_v100</t>
  </si>
  <si>
    <t>ESA</t>
  </si>
  <si>
    <t>ERS</t>
  </si>
  <si>
    <t>GeoEye</t>
  </si>
  <si>
    <t>HJ-1</t>
  </si>
  <si>
    <t>HJ</t>
  </si>
  <si>
    <t>HJ-1A</t>
  </si>
  <si>
    <t>croptype</t>
  </si>
  <si>
    <t>Combined Agroecosystem</t>
  </si>
  <si>
    <t>Canada AAFC Annual Crop Inventory</t>
  </si>
  <si>
    <t>Canada ACI</t>
  </si>
  <si>
    <t>HJ-1B</t>
  </si>
  <si>
    <t>Landsat-5, RADARSAT-2, ResourceSat-2</t>
  </si>
  <si>
    <t>?</t>
  </si>
  <si>
    <t>IRS-1B</t>
  </si>
  <si>
    <t>OGL-Canada-2.0</t>
  </si>
  <si>
    <t>https://developers.google.com/earth-engine/datasets/catalog/AAFC_ACI</t>
  </si>
  <si>
    <t>ISRO</t>
  </si>
  <si>
    <t>IRS-1C</t>
  </si>
  <si>
    <t>Landsat</t>
  </si>
  <si>
    <t>NASA</t>
  </si>
  <si>
    <t>Landsat-4</t>
  </si>
  <si>
    <t>Landsat-5</t>
  </si>
  <si>
    <t>Van Tricht, K., Degerickx, J., Gilliams, S., Zanaga, D., Battude, M., Grosu, A., Brombacher, J., Lesiv, M., Bayas, J. C. L., Karanam, S., Fritz, S., Becker-Reshef, I., Franch, B., Mollà-Bononad, B., Boogaard, H., Pratihast, A. K., and Szantoi, Z.: WorldCereal: a dynamic open-source system for global-scale, seasonal, and reproducible crop and irrigation mapping, Earth Syst. Sci. Data Discuss. [preprint], doi:10.5194/essd-2023-184, in review, 2023.,</t>
  </si>
  <si>
    <t>Landsat-7</t>
  </si>
  <si>
    <t>GeoTIFF</t>
  </si>
  <si>
    <t>10 m</t>
  </si>
  <si>
    <t>0.01</t>
  </si>
  <si>
    <t>Global</t>
  </si>
  <si>
    <t>snapshot</t>
  </si>
  <si>
    <t>Landsat-8</t>
  </si>
  <si>
    <t>AAF Canada, 2025</t>
  </si>
  <si>
    <t>interpolated</t>
  </si>
  <si>
    <t>AAF Canada. Annual Crop Inventory. 2025.</t>
  </si>
  <si>
    <t>30 m</t>
  </si>
  <si>
    <t>0.03</t>
  </si>
  <si>
    <t>USDA NASS Cropland Data Layer</t>
  </si>
  <si>
    <t>USDA NASS CDL</t>
  </si>
  <si>
    <t>Landsat-9</t>
  </si>
  <si>
    <t>Sentinel-2, Landsat, USGS 3D Elevation, USGS NLCD, USDA FSA CLU, USDA NCCPI, National Statistics</t>
  </si>
  <si>
    <t>North America</t>
  </si>
  <si>
    <t>Canada</t>
  </si>
  <si>
    <t>annual</t>
  </si>
  <si>
    <t>2 GB</t>
  </si>
  <si>
    <t>Landsat-ARD</t>
  </si>
  <si>
    <t>CC0 1.0</t>
  </si>
  <si>
    <t>https://developers.google.com/earth-engine/datasets/catalog/USDA_NASS_CDL</t>
  </si>
  <si>
    <t>Landsat-ARD2</t>
  </si>
  <si>
    <t>EUCROPMAP</t>
  </si>
  <si>
    <t>MODIS</t>
  </si>
  <si>
    <t>Sentinel-1, Sentinel-2</t>
  </si>
  <si>
    <t>LUCAS, EUROSTAT</t>
  </si>
  <si>
    <t>NOAA AVHRR</t>
  </si>
  <si>
    <t>7 GB</t>
  </si>
  <si>
    <t>NOAA</t>
  </si>
  <si>
    <t>NOAA-14</t>
  </si>
  <si>
    <t>https://data.jrc.ec.europa.eu/dataset/15f86c84-eae1-4723-8e00-c1b35c8f56b9</t>
  </si>
  <si>
    <t>NOAA-16</t>
  </si>
  <si>
    <t>Pleiades</t>
  </si>
  <si>
    <t>Pléiades</t>
  </si>
  <si>
    <t>RADARSAT</t>
  </si>
  <si>
    <t>CSA</t>
  </si>
  <si>
    <t>RADARSAT-2</t>
  </si>
  <si>
    <t>N America</t>
  </si>
  <si>
    <t>2013-2023</t>
  </si>
  <si>
    <t>modelled</t>
  </si>
  <si>
    <t>RapidEye</t>
  </si>
  <si>
    <t>Global Cropland Change</t>
  </si>
  <si>
    <t>Global cropland change</t>
  </si>
  <si>
    <t>D'andrimont et al., 2021</t>
  </si>
  <si>
    <t>Landsat ARD, USGS GFSAD, MODIS reflectance</t>
  </si>
  <si>
    <t>R. D'andrimont, A. Verhegghen, G. Lemoine, et al. &amp;ldquo;From Parcel to Continental Scale - A First European Crop Type Map Based on Sentinel-1 and LUCAS Copernicus in-Situ Observations&amp;rdquo;. In: REMOTE SENSING OF ENVIRONMENT (2021). ISSN: 0034-4257. DOI: 10.1016/j.rse.2021.112708. (Visited on 06/05/2026).</t>
  </si>
  <si>
    <t>ResourceSat-1</t>
  </si>
  <si>
    <t>Europe</t>
  </si>
  <si>
    <t>https://landcarbonlab.org/data/global-cropland-change/</t>
  </si>
  <si>
    <t>EU</t>
  </si>
  <si>
    <t>4 year</t>
  </si>
  <si>
    <t>ResourceSat-2</t>
  </si>
  <si>
    <t>farmland</t>
  </si>
  <si>
    <t>extent</t>
  </si>
  <si>
    <t>Global Cropland and Grassland 2006</t>
  </si>
  <si>
    <t>Sentinel-1</t>
  </si>
  <si>
    <t>GCG 2006</t>
  </si>
  <si>
    <t>GLC2000, DISCover</t>
  </si>
  <si>
    <t>FAOSTAT, National Statistics</t>
  </si>
  <si>
    <t>Sentinel-2</t>
  </si>
  <si>
    <t>??</t>
  </si>
  <si>
    <t>SPOT</t>
  </si>
  <si>
    <t>https://www.tandfonline.com/doi/full/10.1080/17474230701622940</t>
  </si>
  <si>
    <t>SPOT-4</t>
  </si>
  <si>
    <t>SPOT-5</t>
  </si>
  <si>
    <t>SPOT-6</t>
  </si>
  <si>
    <t>Potapov, P., Turubanova, S., Hansen, M.C. et al. Global maps of cropland extent and change show accelerated cropland expansion in the twenty-first century. Nat Food 3, 19–28 (2022). https://doi.org/10.1038/s43016-021-00429-z</t>
  </si>
  <si>
    <t>SPOT-7</t>
  </si>
  <si>
    <t>UK-DMC-2</t>
  </si>
  <si>
    <t>5 year</t>
  </si>
  <si>
    <t>DMC</t>
  </si>
  <si>
    <t>2000-2019</t>
  </si>
  <si>
    <t>VHRI</t>
  </si>
  <si>
    <t>WGS84</t>
  </si>
  <si>
    <t>Google/Bing</t>
  </si>
  <si>
    <t>Worldview-2</t>
  </si>
  <si>
    <t>multi-source</t>
  </si>
  <si>
    <t>type</t>
  </si>
  <si>
    <t>Canada crop type</t>
  </si>
  <si>
    <t>Landsat-5, AWiFS, DMC, Radarsat-2</t>
  </si>
  <si>
    <t>MAXAR</t>
  </si>
  <si>
    <t>Worldview-3</t>
  </si>
  <si>
    <t>difficult</t>
  </si>
  <si>
    <t>AgroMAPS</t>
  </si>
  <si>
    <t>Klein Goldewijk et al., 2007</t>
  </si>
  <si>
    <t>FAO</t>
  </si>
  <si>
    <t>AQUASTAT</t>
  </si>
  <si>
    <t>K. Klein Goldewijk, G. Van Drecht, and A. F. Bouwman. &amp;ldquo;Mapping Contemporary Global Cropland and Grassland Distributions on a 5 × 5 Minute Resolution&amp;rdquo;. In: Journal of Land Use Science 2.3 (Oct. 2007), pp. 167&amp;ndash;190. ISSN: 1747-423X, 1747-4248. DOI: 10.1080/17474230701622940. (Visited on 06/10/2026).</t>
  </si>
  <si>
    <t>UN</t>
  </si>
  <si>
    <t>10 km</t>
  </si>
  <si>
    <t>CAMI</t>
  </si>
  <si>
    <t>10</t>
  </si>
  <si>
    <t>CTIC</t>
  </si>
  <si>
    <t>EuroCrops</t>
  </si>
  <si>
    <t>EUROSTAT</t>
  </si>
  <si>
    <t>FAO WCA</t>
  </si>
  <si>
    <t>FAOSTAT</t>
  </si>
  <si>
    <t>FertiStat</t>
  </si>
  <si>
    <t>Cropland and Pasture 2015</t>
  </si>
  <si>
    <t>Farmland 2015</t>
  </si>
  <si>
    <t>GEOGLAM</t>
  </si>
  <si>
    <t>Agriculture and Agri-Food Canada Annual Crop Inventory. {YEAR}</t>
  </si>
  <si>
    <t>GSAA</t>
  </si>
  <si>
    <t>FAOSTAT, National Statistics, EUROSTAT</t>
  </si>
  <si>
    <t>HFUBC</t>
  </si>
  <si>
    <t>IFA</t>
  </si>
  <si>
    <t>2009-2025</t>
  </si>
  <si>
    <t>https://essd.copernicus.org/articles/17/3473/2025/</t>
  </si>
  <si>
    <t>expert-based</t>
  </si>
  <si>
    <t>ISRIC</t>
  </si>
  <si>
    <t>LUCAS</t>
  </si>
  <si>
    <t>WorldCereal</t>
  </si>
  <si>
    <t>Sentinel-2, Sentinel-1, Landsat-8, AgERA5, Copernicus DEM, Ecoregions2017, NASA Harvest, EU LPIS, USDA NASS CDL, GEOGLAM, JECAM, FAO AQUASTAT</t>
  </si>
  <si>
    <t>MIAMI-LU</t>
  </si>
  <si>
    <t>NASA/SEDAC</t>
  </si>
  <si>
    <t>National Statistics</t>
  </si>
  <si>
    <t>https://developers.google.com/earth-engine/datasets/catalog/ESA_WorldCereal_2021_MODELS_v100#description</t>
  </si>
  <si>
    <t>NOAA-NGDC</t>
  </si>
  <si>
    <t>USA</t>
  </si>
  <si>
    <t>OECD</t>
  </si>
  <si>
    <t>USDA</t>
  </si>
  <si>
    <t>USDA ERS</t>
  </si>
  <si>
    <t>USGS</t>
  </si>
  <si>
    <t>Mehrabi et al., 2024</t>
  </si>
  <si>
    <t>USGS PNSP</t>
  </si>
  <si>
    <t>Z. Mehrabi, K. Tong, J. Fortin, et al. Geospatial Database of Global Agricultural Lands in the Year 2015. Jun. 2024. DOI: 10.5281/ZENODO.11540554. (Visited on 06/10/2026).</t>
  </si>
  <si>
    <t>World Bank</t>
  </si>
  <si>
    <t>WorldBank</t>
  </si>
  <si>
    <t>WWF</t>
  </si>
  <si>
    <t>Catchment scale land use of Australia</t>
  </si>
  <si>
    <t>CLUM</t>
  </si>
  <si>
    <t>500 MB</t>
  </si>
  <si>
    <t>remotely sensed</t>
  </si>
  <si>
    <t>https://www.agriculture.gov.au/abares/aclump/land-use/catchment-scale-land-use-report</t>
  </si>
  <si>
    <t>Sentinel-1, LUCAS, EUROSTAT</t>
  </si>
  <si>
    <t>https://developers.google.com/earth-engine/datasets/catalog/JRC_D5_EUCROPMAP_V1</t>
  </si>
  <si>
    <t>ABARES, 2024</t>
  </si>
  <si>
    <t>ABARES. Catchment Scale Land Use of Australia &amp;ndash; Update December 2023. 2024. DOI: 10.25814/2W2P-PH98. (Visited on 06/10/2026).</t>
  </si>
  <si>
    <t xml:space="preserve">50 m </t>
  </si>
  <si>
    <t>0.05</t>
  </si>
  <si>
    <t>Australia</t>
  </si>
  <si>
    <t>d'Andrimont, R., Verhegghen, A., Lemoine, G., Kempeneers, P., Meroni, M., &amp; Van der Velde, M. (2021). From parcel to continental scale-A first European crop type map based on Sentinel-1 and LUCAS Copernicus in-situ observations. Remote sensing of environment, 266, 112708.</t>
  </si>
  <si>
    <t>2018-2022</t>
  </si>
  <si>
    <t>field_collected</t>
  </si>
  <si>
    <t>land cover</t>
  </si>
  <si>
    <t>fertilizer</t>
  </si>
  <si>
    <t>Land Use Land Cover India</t>
  </si>
  <si>
    <t>Fertilizer use FAOSTAT</t>
  </si>
  <si>
    <t>LULC India</t>
  </si>
  <si>
    <t>FAOSTAT Fertilizer</t>
  </si>
  <si>
    <t>Cartosat 2S, ResourceSat-1, ResourceSat-2, ResourceSat-2A</t>
  </si>
  <si>
    <t>polygon</t>
  </si>
  <si>
    <t>2 MB</t>
  </si>
  <si>
    <t>https://www.prepdata.org/dataset/PREP_0500</t>
  </si>
  <si>
    <t>https://www.fao.org/faostat/en/#data/RFN</t>
  </si>
  <si>
    <t>Food and Agriculture Organization of the United Nations (2025)</t>
  </si>
  <si>
    <t>csv</t>
  </si>
  <si>
    <t>per-country</t>
  </si>
  <si>
    <t>1961-2023</t>
  </si>
  <si>
    <t>split by NPK or overall</t>
  </si>
  <si>
    <t>NRSC, 2024</t>
  </si>
  <si>
    <t>NRSC. Annual LULC Atlas of India. 2024.</t>
  </si>
  <si>
    <t xml:space="preserve">30 m </t>
  </si>
  <si>
    <t>NPKGRIDS Global Fertilizer Application Rates Dataset</t>
  </si>
  <si>
    <t>Asia</t>
  </si>
  <si>
    <t>NPKGRIDS</t>
  </si>
  <si>
    <t>India</t>
  </si>
  <si>
    <t>CROPGRIDS, HFUBC, National Statistics, Global Crop-specific fertilization</t>
  </si>
  <si>
    <t>land use</t>
  </si>
  <si>
    <t>300 MB</t>
  </si>
  <si>
    <t>https://gee-community-catalog.org/projects/npk/</t>
  </si>
  <si>
    <t>HILDA+</t>
  </si>
  <si>
    <t>Copernicus LC, ESA LC, GLAD LGLC, GLC2000, GLCNMO, GHSL, GLW, GLAD GFC, GUF, GlobCover, Globeland30, Canada ACI, Australia DLCD, CORINE LC, LULC India, MoEF Indonesia, USGS NLCD, RCMRD LC, South Africa LC</t>
  </si>
  <si>
    <t>https://ceos.org/gst/HILDAplus.html</t>
  </si>
  <si>
    <t>Nguyen, T.H., Tang, F.H.M., Conchedda, G. et al. NPKGRIDS: a global georeferenced dataset of N, P2O5, and K2O fertilizer application rates for 173 crops. Sci Data 11, 1179 (2024). https://doi.org/10.1038/s41597-024-04030-4</t>
  </si>
  <si>
    <t>Winkler et al., 2021</t>
  </si>
  <si>
    <t>5 km</t>
  </si>
  <si>
    <t>K. Winkler, R. Fuchs, M. Rounsevell, et al. &amp;ldquo;Global Land Use Changes Are Four Times Greater than Previously Estimated&amp;rdquo;. In: Nature Communications 12.1 (May. 2021), p. 2501. ISSN: 2041-1723. DOI: 10.1038/s41467-021-22702-2. (Visited on 06/10/2026).</t>
  </si>
  <si>
    <t>1 km</t>
  </si>
  <si>
    <t>1</t>
  </si>
  <si>
    <t>N/P/K per crop</t>
  </si>
  <si>
    <t>IFA Historic Fertilizer Use By Crop</t>
  </si>
  <si>
    <t>FAOSTAT, IFA</t>
  </si>
  <si>
    <t>The 30 m annual land cover dataset and its dynamics in China from 1990 to 2019</t>
  </si>
  <si>
    <t>China LC</t>
  </si>
  <si>
    <t>https://datadryad.org/dataset/doi:10.5061/dryad.2rbnzs7qh#readme</t>
  </si>
  <si>
    <t>ChinaCover</t>
  </si>
  <si>
    <t>60 GB</t>
  </si>
  <si>
    <t>https://zenodo.org/records/18180184</t>
  </si>
  <si>
    <t>Ludemann, C.I., Gruere, A., Heffer, P. et al. Global data on fertilizer use by crop and by country. Sci Data 9, 501 (2022). https://doi.org/10.1038/s41597-022-01592-z</t>
  </si>
  <si>
    <t>Yang et al., 2026</t>
  </si>
  <si>
    <t>multi-year</t>
  </si>
  <si>
    <t>1992-2025</t>
  </si>
  <si>
    <r>
      <t xml:space="preserve">Yang, J., &amp; Huang, X. (2026). The 30 m annual land cover datasets and its dynamics in China from 1985 to 2025. </t>
    </r>
    <r>
      <rPr>
        <i/>
        <color rgb="FF1155CC"/>
        <u/>
      </rPr>
      <t>https://doi.org/10.5281/zenodo.18180184</t>
    </r>
  </si>
  <si>
    <t>FAOSTAT nutrient input</t>
  </si>
  <si>
    <t>FAOSTAT nutrients</t>
  </si>
  <si>
    <t>5 MB</t>
  </si>
  <si>
    <t>https://www.fao.org/faostat/en/#data/ESB</t>
  </si>
  <si>
    <t>intensity</t>
  </si>
  <si>
    <t>Utilised agricultural area (UAA) managed by low-, medium- and high-input farms</t>
  </si>
  <si>
    <t>EUROSTAT farm intensity</t>
  </si>
  <si>
    <t>400 KB</t>
  </si>
  <si>
    <t>https://ec.europa.eu/eurostat/databrowser/explore/all/agric?sort=category&amp;lang=en&amp;subtheme=agr.aei.aei_pes&amp;display=list</t>
  </si>
  <si>
    <t>China</t>
  </si>
  <si>
    <t>LUH2</t>
  </si>
  <si>
    <t>HYDE, GLAD GFC, MRF 2000, USDA NASS CDL, Zhang Nitrogen, Heinimann 2017</t>
  </si>
  <si>
    <t>MIAMI-LU, FAOSTAT</t>
  </si>
  <si>
    <t>2.5 GB</t>
  </si>
  <si>
    <t>https://luh.umd.edu/index.shtml</t>
  </si>
  <si>
    <t>Hurtt et al., 2020</t>
  </si>
  <si>
    <t>G. C. Hurtt, L. Chini, R. Sahajpal, et al. &amp;ldquo;Harmonization of Global Land Use Change and Management for the Period 850&amp;ndash;2100 (LUH2) for CMIP6&amp;rdquo;. In: Geoscientific Model Development 13.11 (Nov. 2020), pp. 5425&amp;ndash;5464. ISSN: 1991-9603. DOI: 10.5194/gmd-13-5425-2020. (Visited on 06/10/2026).</t>
  </si>
  <si>
    <t>nc</t>
  </si>
  <si>
    <t>30 km</t>
  </si>
  <si>
    <t>30</t>
  </si>
  <si>
    <t>2012-2021</t>
  </si>
  <si>
    <t>management layer</t>
  </si>
  <si>
    <t>Irrigated crops in europe</t>
  </si>
  <si>
    <t>Europe crop irrigation</t>
  </si>
  <si>
    <t>HYDE 3.5</t>
  </si>
  <si>
    <t>HYDE</t>
  </si>
  <si>
    <t>GCG 2006, LandScan, ESA LC, MapBiomas, MIRCA2000, GAEZ, CRU</t>
  </si>
  <si>
    <t>https://agri4cast.jrc.ec.europa.eu/dataportal</t>
  </si>
  <si>
    <t>FAOSTAT, National Statistics, UN, WWF, NOAA-NGDC</t>
  </si>
  <si>
    <t>2.7 GB</t>
  </si>
  <si>
    <t>https://landuse.sites.uu.nl/hyde-project/</t>
  </si>
  <si>
    <t>Food Security Unit of the Joint Research Center (JRC.D.5)</t>
  </si>
  <si>
    <t>Klein Goldewijk, 2025</t>
  </si>
  <si>
    <t>K. Klein Goldewijk. HYDE Data for the Global Carbon Budget (2025). Jun. 2025. DOI: 10.24416/UU01-F45D44. (Visited on 06/10/2026).</t>
  </si>
  <si>
    <t>AAIGRID</t>
  </si>
  <si>
    <t>9 km</t>
  </si>
  <si>
    <t>9</t>
  </si>
  <si>
    <t>Global Cropping Intensity Dataset 30 m</t>
  </si>
  <si>
    <t>Cropping intensity</t>
  </si>
  <si>
    <t>Landsat-7, Landsat-8, Sentinel-2, MODIS, USDA NASS CDL, Canada ACI, ChinaCover, SERVIR, USGS NLCD, GFSAD30, FROM-GLC, MapBiomas, INTA</t>
  </si>
  <si>
    <t>https://gee-community-catalog.org/projects/gci30/#dataset-preprocessing</t>
  </si>
  <si>
    <t>Anthromes 12k</t>
  </si>
  <si>
    <t>Anthromes</t>
  </si>
  <si>
    <t>Ramankutty Vegetation, HYDE, MRF 2000</t>
  </si>
  <si>
    <t>https://dataverse.harvard.edu/dataset.xhtml?persistentId=doi:10.7910/DVN/6KKAWS</t>
  </si>
  <si>
    <t>Zhang, Miao, Bingfang Wu, Hongwei Zeng, Guojin He, Chong Liu, Shiqi Tao, Qi Zhang et al. "GCI30: A global dataset of 30-m cropping intensity using multisource remote sensing imagery." Earth System Science Data Discussions 2021 (2021): 1-22.</t>
  </si>
  <si>
    <t>2016-2018</t>
  </si>
  <si>
    <t>Agri-environmental indicators OECD</t>
  </si>
  <si>
    <t>OECD agro indicators</t>
  </si>
  <si>
    <t>OECD, EUROSTAT</t>
  </si>
  <si>
    <t>https://data-explorer.oecd.org/vis?lc=en&amp;df[ds]=dsDisseminateFinalDMZ&amp;df[id]=DSD_AGRI_ENV%40DF_AEI&amp;df[ag]=OECD.TAD.ARP&amp;dq=.A.TOTAGR_LAND....&amp;pd=2012%2C&amp;to[TIME_PERIOD]=false</t>
  </si>
  <si>
    <t>Ellis, 2019</t>
  </si>
  <si>
    <t>E. Ellis. Anthromes v2 (GeoTiff). 2019. DOI: 10.7910/DVN/6KKAWS. (Visited on 06/10/2026).</t>
  </si>
  <si>
    <t>tif</t>
  </si>
  <si>
    <t>collaboration between OECD and EUROSTAT</t>
  </si>
  <si>
    <t>Farm machinery per unit of agricultural land</t>
  </si>
  <si>
    <t>Farm machinery</t>
  </si>
  <si>
    <t>100 KB</t>
  </si>
  <si>
    <t>MapBiomas Land Use Land Cover</t>
  </si>
  <si>
    <t>https://ourworldindata.org/grapher/machinery-per-agricultural-land</t>
  </si>
  <si>
    <t>MapBiomas</t>
  </si>
  <si>
    <t>https://brasil.mapbiomas.org/en/iniciativas-mapbiomas/</t>
  </si>
  <si>
    <t>OurWorldInData</t>
  </si>
  <si>
    <t>Average farm size</t>
  </si>
  <si>
    <t>Farm avg size</t>
  </si>
  <si>
    <t>https://ourworldindata.org/grapher/average-farm-size?country=&amp;globe=1&amp;globeRotation=9.47%2C-301.66</t>
  </si>
  <si>
    <t>MAPBIOMAS, 2026</t>
  </si>
  <si>
    <t>MAPBIOMAS. MapBiomas Initiatives. 2026.</t>
  </si>
  <si>
    <t>South America</t>
  </si>
  <si>
    <t>per-country variability in mapped classes and temporal coverage</t>
  </si>
  <si>
    <t>Digital Earth Australia Land Cover</t>
  </si>
  <si>
    <t>DEA LC</t>
  </si>
  <si>
    <t>Landsat-5, Landsat-7, Landsat-8, Landsat-9</t>
  </si>
  <si>
    <t>80 GB</t>
  </si>
  <si>
    <t>pesticide</t>
  </si>
  <si>
    <t>Pesticide use FAOSTAT</t>
  </si>
  <si>
    <t>https://www.ga.gov.au/scientific-topics/dea/dea-data-and-products/dea-land-cover</t>
  </si>
  <si>
    <t>FAOSTAT Pesticide use</t>
  </si>
  <si>
    <t>500 KB</t>
  </si>
  <si>
    <t>https://www.fao.org/faostat/en/#data/RP</t>
  </si>
  <si>
    <t>1990-2023</t>
  </si>
  <si>
    <t>USGS Pesticide National Synthesis Project</t>
  </si>
  <si>
    <t>Tissott et al., 2025</t>
  </si>
  <si>
    <t>https://water.usgs.gov/nawqa/pnsp/usage/maps/</t>
  </si>
  <si>
    <t>B. Tissott, N. Mueller, C. Jorand, et al. Geoscience Australia Landsat Landcover Collection 3. 2025. DOI: 10.26186/149976. (Visited on 06/10/2026).</t>
  </si>
  <si>
    <t>Decadal Land Use and Land Cover Classifications across India, 1985, 1995, 2005</t>
  </si>
  <si>
    <t>LULC India Decadal</t>
  </si>
  <si>
    <t>Landsat-5, IRS-1B, Landsat-4</t>
  </si>
  <si>
    <t>https://www.earthdata.nasa.gov/data/catalog/ornl-cloud-decadal-lulc-india-1336-1</t>
  </si>
  <si>
    <t>county</t>
  </si>
  <si>
    <t>1992-2012</t>
  </si>
  <si>
    <t>EUROSTAT Pesticide sales</t>
  </si>
  <si>
    <t>2015-2024</t>
  </si>
  <si>
    <t>EUROSTAT Pesticide use</t>
  </si>
  <si>
    <t>NASA, 2025</t>
  </si>
  <si>
    <t>NASA. Decadal Land Use and Land Cover Classifications across India, 1985, 1995, 2005. Jun. 2025. (Visited on 06/10/2026).</t>
  </si>
  <si>
    <t>100 m</t>
  </si>
  <si>
    <t>0.1</t>
  </si>
  <si>
    <t>decadal</t>
  </si>
  <si>
    <t>Dynamic World, Near real-time global 10 m land use land cover mapping</t>
  </si>
  <si>
    <t>DynamicWorld</t>
  </si>
  <si>
    <t>PEST-CHEMGRIDS Global Pesticide Application Rates</t>
  </si>
  <si>
    <t>PEST-CHEMGRIDS</t>
  </si>
  <si>
    <t xml:space="preserve">USGS PNSP, FAOSTAT, SOILGRIDS, MRF 2000, NASA/SEDAC, </t>
  </si>
  <si>
    <t>5 GB</t>
  </si>
  <si>
    <t>https://www.nature.com/articles/s41597-022-01307-4#Sec13</t>
  </si>
  <si>
    <t>https://figshare.com/articles/dataset/PESTCHEMGRIDS_v2_01_beta_version_/25854769</t>
  </si>
  <si>
    <t>Brown et al., 2022</t>
  </si>
  <si>
    <t>Maggi, F., F. H. M. Tang, D. la Cecilia and A. McBratney. 2019. PEST-CHEMGRIDS, Global Gridded Maps of the Top 20 Crop-specific Pesticide Application Rates from 2015 to 2025. Scientific Data 6 (170): 1-20. https://doi.org/10.1038/s41597-019-0169-4</t>
  </si>
  <si>
    <t>C. F. Brown, S. P. Brumby, B. Guzder-Williams, et al. &amp;ldquo;Dynamic World, Near Real-Time Global 10 m Land Use Land Cover Mapping&amp;rdquo;. In: Scientific Data 9.1 (Jun. 2022), p. 251. ISSN: 2052-4463. DOI: 10.1038/s41597-022-01307-4. (Visited on 06/10/2026).</t>
  </si>
  <si>
    <t>2015-2025</t>
  </si>
  <si>
    <t>Global Fertilizer and Manure, Version 1</t>
  </si>
  <si>
    <t>Global Fertilizer and Manure</t>
  </si>
  <si>
    <t>Crops</t>
  </si>
  <si>
    <t>Global Food-and-Water Security-support Analysis Data</t>
  </si>
  <si>
    <t>MRF 2000, HFUBC, FAOSTAT, GLW3, OECD</t>
  </si>
  <si>
    <t>USGS GFSAD30</t>
  </si>
  <si>
    <t>150 MB</t>
  </si>
  <si>
    <t>GAEZ, NASA GDEM</t>
  </si>
  <si>
    <t>Landsat-7, Landsat-8, Sentinel-2, VHRI</t>
  </si>
  <si>
    <t>https://dataverse.harvard.edu/dataset.xhtml?persistentId=doi:10.7910/DVN/P8MWOW</t>
  </si>
  <si>
    <t>https://www.earthdata.nasa.gov/news/feature-articles/measuring-worlds-croplands</t>
  </si>
  <si>
    <t>USGS, 2025</t>
  </si>
  <si>
    <t>Potter, P., N. Ramankutty, E.M. Bennett, and S.D. Donner, 2012, "Global Fertilizer and Manure, Version 1: Phosphorus in Manure Production", https://doi.org/10.7910/DVN/P8MWOW, Harvard Dataverse, V1</t>
  </si>
  <si>
    <t>USGS. GFSAD. 2025.</t>
  </si>
  <si>
    <t>50 km</t>
  </si>
  <si>
    <t>50</t>
  </si>
  <si>
    <t>Contains irrigated and rainfed croplands, cropland extents.</t>
  </si>
  <si>
    <t>SPAM - Yield, Production, Area</t>
  </si>
  <si>
    <t>SPAM</t>
  </si>
  <si>
    <t>AgroMAPS, AQUASTAT, MIRCA2000, National Statistics, GlobCover, MODIS, AFRICOVER, GLC2000, ISCGM, CORINE LC, GRUMPv1</t>
  </si>
  <si>
    <t>4 GB</t>
  </si>
  <si>
    <t>USGS 3D Elevation, USGS NLCD, USDA FSA CLU, USDA NCCPI</t>
  </si>
  <si>
    <t>https://www.mapspam.info/data/</t>
  </si>
  <si>
    <t>Landsat-5, Landsat-7, Landsat-8, Landsat-9, ResourceSat-1, ResourceSat-2, Deimos-1, UK-DMC-2, Sentinel-2, Sentinel-2</t>
  </si>
  <si>
    <t>International Food Policy Research Institute (IFPRI), 2024, "Global Spatially-Disaggregated Crop Production Statistics Data for 2020 Version 2.0", https://doi.org/10.7910/DVN/SWPENT, Harvard Dataverse, V4</t>
  </si>
  <si>
    <t>9km</t>
  </si>
  <si>
    <t>Yearly modelled crop area in the EU at regional level</t>
  </si>
  <si>
    <t>EU crop type</t>
  </si>
  <si>
    <t>USDA NASS, 2026</t>
  </si>
  <si>
    <t>USDA NASS. Cropland Data Layer. 2026. (Visited on 06/04/2026).</t>
  </si>
  <si>
    <t>tif?</t>
  </si>
  <si>
    <t>regional</t>
  </si>
  <si>
    <t>1980-2023</t>
  </si>
  <si>
    <t>EPSG:3035</t>
  </si>
  <si>
    <t>grassland</t>
  </si>
  <si>
    <t>limited data from 1997 for some states</t>
  </si>
  <si>
    <t>cover</t>
  </si>
  <si>
    <t>High resolution Grassland Copernicus</t>
  </si>
  <si>
    <t>Copernicus Grassland</t>
  </si>
  <si>
    <t>Sentinel-2, LUCAS, CORINE LC, CLCplus backbone, HRL Imperviousness, National Statistics, Copernicus Ploughing</t>
  </si>
  <si>
    <t>moderate</t>
  </si>
  <si>
    <t>Yearly modelled crop area in EU Member States at 25 km grid resolution from 1980 - 2022 for major crops in Europe.</t>
  </si>
  <si>
    <t>EU Crops</t>
  </si>
  <si>
    <t>https://land.copernicus.eu/en/products/high-resolution-layer-grasslands?tab=overview</t>
  </si>
  <si>
    <t>Dataset title. European Union's Copernicus Land Monitoring Service information, &lt;provide the name and URL of data access point&gt; (Accessed on DD.MM.YYYY). &lt;DOI: dataset DOI, if applicable&gt;</t>
  </si>
  <si>
    <t>EU JRC, 2022</t>
  </si>
  <si>
    <t>2017-2023</t>
  </si>
  <si>
    <t>EU JRC. Yearly Modelled Crop Area in the EU at Grid Level. 2022.</t>
  </si>
  <si>
    <t>25 km</t>
  </si>
  <si>
    <t>25</t>
  </si>
  <si>
    <t>mowing</t>
  </si>
  <si>
    <t>High resolution Grassland Copernicus - mowing events</t>
  </si>
  <si>
    <t>Copernicus Grassland - Mowing</t>
  </si>
  <si>
    <t>https://land.copernicus.eu/en/products/high-resolution-layer-grasslands?tab=grassland_mowing_events</t>
  </si>
  <si>
    <t>Copernicus DEM, Ecoregions2017, NASA Harvest, EU LPIS, USDA NASS CDL, JECAM</t>
  </si>
  <si>
    <t>Sentinel-1, Sentinel-2, Landsat-8</t>
  </si>
  <si>
    <t xml:space="preserve">AQUASTAT, GEOGLAM, AgERA5, </t>
  </si>
  <si>
    <t>https://zenodo.org/records/7875105</t>
  </si>
  <si>
    <t>Van Tricht et al., 2023</t>
  </si>
  <si>
    <t>K. Van Tricht, J. Degerickx, S. Gilliams, et al. ESA WorldCereal 10 m 2021 V100. May. 2023. DOI: 10.5281/zenodo.7875105. (Visited on 06/05/2026).</t>
  </si>
  <si>
    <t>High resolution Grassland Copernicus - grassland change</t>
  </si>
  <si>
    <t>Copernicus Grassland - Change</t>
  </si>
  <si>
    <t>1 GB</t>
  </si>
  <si>
    <t>https://land.copernicus.eu/en/products/high-resolution-layer-grasslands/grassland-change-2015-2018</t>
  </si>
  <si>
    <t>CROPGRIDS</t>
  </si>
  <si>
    <t>MRF 2000, SPAM, GAEZ, EUCROPMAP, USDA NASS CDL, Canada ACI, GLCNMO</t>
  </si>
  <si>
    <t xml:space="preserve">FAOSTAT, National Statistics </t>
  </si>
  <si>
    <t>https://figshare.com/articles/dataset/CROPGRIDS/22491997</t>
  </si>
  <si>
    <t>20m</t>
  </si>
  <si>
    <t>0.02</t>
  </si>
  <si>
    <t>Tang et al., 2024</t>
  </si>
  <si>
    <t>3 year</t>
  </si>
  <si>
    <t>F. H. M. Tang, T. H. Nguyen, G. Conchedda, et al. &amp;ldquo;CROPGRIDS: A Global Geo-Referenced Dataset of 173 Crops&amp;rdquo;. In: Scientific Data 11.1 (Apr. 2024), p. 413. ISSN: 2052-4463. DOI: 10.1038/s41597-024-03247-7. (Visited on 06/22/2026).</t>
  </si>
  <si>
    <t>2015-2021</t>
  </si>
  <si>
    <t>5</t>
  </si>
  <si>
    <t>FAOSTAT, Copernicus LC, ESA LC, GLAD LGLC, GLC2000, GLCNMO, GHSL, GLW3, Hansen GLAD GFC, GUF, GlobCover, Globeland30, Canada ACI, Australia DLCD, CORINE LC, LULC India, MoEF Indonesia, USGS NLCD, RCMRD LC, South Africa LC</t>
  </si>
  <si>
    <t>Geographic distribution of crop areas, yields, physiological types, and net primary production in the year 2000</t>
  </si>
  <si>
    <t>MRF 2000</t>
  </si>
  <si>
    <t>GLC2000</t>
  </si>
  <si>
    <t xml:space="preserve">FAOSTAT, National Statistics, AgroMAPS, </t>
  </si>
  <si>
    <t>http://www.earthstat.org/harvested-area-yield-175-crops/</t>
  </si>
  <si>
    <t>1km</t>
  </si>
  <si>
    <t>1960-2019</t>
  </si>
  <si>
    <t>Long term Global Land Change (1982 - 2016)</t>
  </si>
  <si>
    <t>GLAD LGLC</t>
  </si>
  <si>
    <t>MODIS, NOAA-16, NOAA AVHRR, IFL, GBG</t>
  </si>
  <si>
    <t>6 MB</t>
  </si>
  <si>
    <t>Monfreda et al., 2008</t>
  </si>
  <si>
    <t>https://glad.umd.edu/dataset/long-term-global-land-change</t>
  </si>
  <si>
    <t>C. Monfreda, N. Ramankutty, and J. A. Foley. &amp;ldquo;Farming the Planet: 2. Geographic Distribution of Crop Areas, Yields, Physiological Types, and Net Primary Production in the Year 2000&amp;rdquo;. In: Global Biogeochemical Cycles 22.1 (2008). ISSN: 1944-9224. DOI: 10.1029/2007GB002947. (Visited on 06/01/2026).</t>
  </si>
  <si>
    <t>EuroCrops: The Largest Harmonized Open Crop Dataset Across the European Union</t>
  </si>
  <si>
    <t>vector</t>
  </si>
  <si>
    <t>https://www.nature.com/articles/s41597-023-02517-0</t>
  </si>
  <si>
    <t>Song, X.P., Hansen, M.C., Stehman, S.V., Potapov, P.V., Tyukavina, A., Vermote, E.F., &amp; Townshend, J.R. (2018). Global land change 1982-2016. Nature 560, 639–643.</t>
  </si>
  <si>
    <t>5km</t>
  </si>
  <si>
    <t>35 year</t>
  </si>
  <si>
    <t>1982-2016</t>
  </si>
  <si>
    <t>bare ground, short vegetation, tree canopy change</t>
  </si>
  <si>
    <t>HYDE, GLAD GFC, MRF 2000, FAOSTAT, USDA NASS CDL, Zhang Nitrogen, Heinimann 2017, MIAMI-LU</t>
  </si>
  <si>
    <t>Schneider et al., 2024</t>
  </si>
  <si>
    <t>M. Schneider, A. Chan, and M. Körner. EuroCrops. 2024. DOI: 10.5281/zenodo.14094196. (Visited on 06/05/2026).</t>
  </si>
  <si>
    <t>600</t>
  </si>
  <si>
    <t>AgroMAPS Global Spatial Database of National and Sub-National Agricultural Land-Use Statistics</t>
  </si>
  <si>
    <t>GAEZ</t>
  </si>
  <si>
    <t>Hurtt, G. C., L. Chini, R. Sahajpal, S. Frolking, B. L. Bodirsky, K. Calvin, J. C. Doelman, J. Fisk, S. Fujimori, K. K. Goldewijk, T. Hasegawa, P. Havlik, A. Heinimann, F. Humpenöder, J. Jungclaus, Jed Kaplan, J. Kennedy, T. Kristzin, D. Lawrence, P. Lawrence, L. Ma, O. Mertz, J. Pongratz, A. Popp, B. Poulter, K. Riahi, E. Shevliakova, E. Stehfest, P. Thornton, F. N. Tubiello, D. P. van Vuuren, X. Zhang (2020). Harmonization of Global Land-Use Change and Management for the Period 850-2100 (LUH2) for CMIP6.Geoscientifc Model Development Discussions. https://doi.org/10.5194/gmd-2019-360</t>
  </si>
  <si>
    <t>https://gaez.fao.org/pages/agromaps</t>
  </si>
  <si>
    <t>30km</t>
  </si>
  <si>
    <t>850-2100</t>
  </si>
  <si>
    <t>GCG 2006, FAOSTAT, UN, LandScan, ESA LC, MapBiomas, National Statistics, MIRCA2000, NOAA-NGDC, GAEZ, CRU, WWF</t>
  </si>
  <si>
    <t>FAOSTAT, 2026</t>
  </si>
  <si>
    <t>FAOSTAT. AgroMAPS. 2026.</t>
  </si>
  <si>
    <t>10 year</t>
  </si>
  <si>
    <t>National Cropland Map of Argentina</t>
  </si>
  <si>
    <t>INTA</t>
  </si>
  <si>
    <t>Landsat, Sentinel-2</t>
  </si>
  <si>
    <t>https://zenodo.org/records/13984185</t>
  </si>
  <si>
    <t>Klein Goldewijk, Kees</t>
  </si>
  <si>
    <t>-10000-2025</t>
  </si>
  <si>
    <t>timescale is too large, but it looks to be a nice integration of multiple datasources (demographics, FAO)</t>
  </si>
  <si>
    <t>Ramankutty potential natural vegetation, HYDE, MRF 2000, AQUASTAT</t>
  </si>
  <si>
    <t>Abelleyra et al., 2024</t>
  </si>
  <si>
    <t>D. de Abelleyra, M. d. R. Iturralde Elortegui, K. Zelaya, et al. Argentina National Map of Crops 2023/2024. Oct. 2024. DOI: 10.5281/zenodo.13984185. (Visited on 06/05/2026).</t>
  </si>
  <si>
    <t>Argentina</t>
  </si>
  <si>
    <t>Global synergy cropland map</t>
  </si>
  <si>
    <t>SASAM-GC</t>
  </si>
  <si>
    <t>GlobeLand, ESA LC, GlobCover, CLUM, ChinaCover, CORINE LC</t>
  </si>
  <si>
    <t>https://dataverse.harvard.edu/dataset.xhtml?persistentId=doi:10.7910/DVN/ZWSFAA</t>
  </si>
  <si>
    <t>E.C. Ellis,N. Gauthier,K. Klein Goldewijk,R. Bliege Bird,N. Boivin,S. Díaz,D.Q. Fuller,J.L. Gill,J.O. Kaplan,N. Kingston,H. Locke,C.N.H. McMichael,D. Ranco,T.C. Rick,M.R. Shaw,L. Stephens,J. Svenning, &amp; J.E.M. Watson, People have shaped most of terrestrial nature for at least 12,000 years, Proc. Natl. Acad. Sci. U.S.A. 118 (17) e2023483118, https://doi.org/10.1073/pnas.2023483118 (2021).</t>
  </si>
  <si>
    <t>1700-2000</t>
  </si>
  <si>
    <t>livestock</t>
  </si>
  <si>
    <t>density</t>
  </si>
  <si>
    <t>Livestock data FAOSTAT</t>
  </si>
  <si>
    <t>FAOSTAT Livestock</t>
  </si>
  <si>
    <t>https://www.fao.org/faostat/en/#data/EK</t>
  </si>
  <si>
    <t>livestock density index</t>
  </si>
  <si>
    <t>EUROSTAT Livestock</t>
  </si>
  <si>
    <t>Lu et al., 2020</t>
  </si>
  <si>
    <t>M. Lu, W. Wu, L. You, et al. Global Synergy Cropland Map. May. 2020. DOI: 10.7910/DVN/ZWSFAA. (Visited on 06/05/2026).</t>
  </si>
  <si>
    <t>https://ec.europa.eu/eurostat/statistics-explained/index.php?title=Glossary:Grazing_livestock_density_index</t>
  </si>
  <si>
    <t>500 m</t>
  </si>
  <si>
    <t>0.5</t>
  </si>
  <si>
    <t>Digital Earth Africa Cropland Extent</t>
  </si>
  <si>
    <t>Africa Cropland</t>
  </si>
  <si>
    <t>https://deafrica.africageoportal.com/datasets/bc6a9440f3cb41d6904b2c8831745903/about</t>
  </si>
  <si>
    <t>Global crop-specific nitrogen fertilization</t>
  </si>
  <si>
    <t>Global Nitrogen</t>
  </si>
  <si>
    <t xml:space="preserve"> </t>
  </si>
  <si>
    <t>8 GB</t>
  </si>
  <si>
    <t>https://data.tpdc.ac.cn/en/data/1e31ad1f-5904-4b49-8796-b379c37e7dba</t>
  </si>
  <si>
    <t>Digital Earth Africa, 2022</t>
  </si>
  <si>
    <t>Digital Earth Africa. Cropland Extents for Africa. 2022.</t>
  </si>
  <si>
    <t>Africa</t>
  </si>
  <si>
    <t>Fallow Land Presence 2017-2023 Copernicus</t>
  </si>
  <si>
    <t>Fallow Land EU</t>
  </si>
  <si>
    <t>Wulahati, A., Cui, X., Cai, H., You, L., Zhou, F. (2023). Global crop-specific nitrogen fertilization dataset in 1961-2020. National Tibetan Plateau / Third Pole Environment Data Center. https://doi.org/10.11888/Terre.tpdc.300446.</t>
  </si>
  <si>
    <t>CORINE LC, CLCplus backbone, HRL Imperviousness, Copernicus Ploughing</t>
  </si>
  <si>
    <t>LUCAS, GSAA, EuroCrops</t>
  </si>
  <si>
    <t>https://land.copernicus.eu/en/products/high-resolution-layer-croplands/fallow-land-presence-2023-raster-10-m-europe-yearly</t>
  </si>
  <si>
    <t>1961-2020</t>
  </si>
  <si>
    <t>includes fertilizer types</t>
  </si>
  <si>
    <t>Crop production and nitrogen use in European cropland and grassland 1961–2019</t>
  </si>
  <si>
    <t>Europe Nitrogen</t>
  </si>
  <si>
    <t>650 MB</t>
  </si>
  <si>
    <t>https://springernature.figshare.com/collections/Crop_production_and_nitrogen_use_in_European_cropland_and_grassland_1961-2019/5320772</t>
  </si>
  <si>
    <t>EEA, 2024</t>
  </si>
  <si>
    <t>EEA. Fallow Land Presence 2017 - Present (Raster 10 m), Europe, Yearly, Nov. 2024. 2024. DOI: 10.2909/FA304E7C-771C-4FFB-B0F4-7E302A0D5081. (Visited on 06/10/2026).</t>
  </si>
  <si>
    <t>GLAD GCC</t>
  </si>
  <si>
    <t>Landsat-ARD, MODIS</t>
  </si>
  <si>
    <t>Einarsson, R., Sanz-Cobena, A., Aguilera, E. et al. Crop production and nitrogen use in European cropland and grassland 1961–2019. Sci Data 8, 288 (2021). https://doi.org/10.1038/s41597-021-01061-z</t>
  </si>
  <si>
    <t>1961-2019</t>
  </si>
  <si>
    <t>Potapov et al., 2021</t>
  </si>
  <si>
    <t>P. Potapov, S. Turubanova, M. C. Hansen, et al. &amp;ldquo;Global Maps of Cropland Extent and Change Show Accelerated Cropland Expansion in the Twenty-First Century&amp;rdquo;. In: Nature Food 3.1 (Dec. 2021), pp. 19&amp;ndash;28. ISSN: 2662-1355. DOI: 10.1038/s43016-021-00429-z. (Visited on 06/10/2026).</t>
  </si>
  <si>
    <t>Tang F. H. M., Nguyen T. H., Conchedda G., Casse L., Tubiello F., and Maggi F. (2023). CROPGRIDS, a global geo-referenced dataset of 173 crops, Scientific Data.</t>
  </si>
  <si>
    <t>Crop-specific global fertilizer application rates</t>
  </si>
  <si>
    <t>Global Fertilization Per-Crop</t>
  </si>
  <si>
    <t>Historic Croplands Dataset, 1700-1992</t>
  </si>
  <si>
    <t>Historical Cropland</t>
  </si>
  <si>
    <t>200 MB</t>
  </si>
  <si>
    <t>DISCover</t>
  </si>
  <si>
    <t>https://zenodo.org/records/5260732#.YqlfS3ZBy5d</t>
  </si>
  <si>
    <t>46 MB</t>
  </si>
  <si>
    <t>https://sage.nelson.wisc.edu/data-and-models/datasets/historic-croplands-dataset-1700-1992/</t>
  </si>
  <si>
    <t>Ramankutty &amp; Foley, 1999</t>
  </si>
  <si>
    <t>N. Ramankutty and J. A. Foley. &amp;ldquo;Estimating Historical Changes in Global Land Cover: Croplands from 1700 to 1992&amp;rdquo;. In: Global Biogeochemical Cycles 13.4 (Dec. 1999), pp. 997&amp;ndash;1027. ISSN: 0886-6236, 1944-9224. DOI: 10.1029/1999GB900046. (Visited on 06/10/2026).</t>
  </si>
  <si>
    <t>netCDF</t>
  </si>
  <si>
    <t>Shifting cultivation (tropics)</t>
  </si>
  <si>
    <t>Cultivated Tropics</t>
  </si>
  <si>
    <t>GLAD GFC</t>
  </si>
  <si>
    <t>https://journals.plos.org/plosone/article?id=10.1371/journal.pone.0184479</t>
  </si>
  <si>
    <t>Monfreda et al. (2008), “Farming the planet: 2. Geographic distribution of crop areas, yields, physiological types, and net primary production in the year 2000,” Global Biogeochemical Cycles, Vol.22, GB1022, doi:10.1029/2007GB002947.</t>
  </si>
  <si>
    <t>Heinimann et al., 2017</t>
  </si>
  <si>
    <t>A. Heinimann, O. Mertz, S. Frolking, et al. &amp;ldquo;A Global View of Shifting Cultivation: Recent, Current, and Future Extent&amp;rdquo;. In: PLOS ONE 12.9 (Sep. 2017). Ed. by B. Poulter, p. e0184479. ISSN: 1932-6203. DOI: 10.1371/journal.pone.0184479. (Visited on 06/10/2026).</t>
  </si>
  <si>
    <t>100 km</t>
  </si>
  <si>
    <t>100</t>
  </si>
  <si>
    <t>only tropics/subtropics</t>
  </si>
  <si>
    <t>Annual 10 m high resolution cropland maps for Southeast Asia since 2019 using AlphaEarth embeddings</t>
  </si>
  <si>
    <t>SEA Cropland</t>
  </si>
  <si>
    <t>AlphaEarth</t>
  </si>
  <si>
    <t>Sentinel-1, Sentinel-2, Copernicus DEM</t>
  </si>
  <si>
    <t>9 GB</t>
  </si>
  <si>
    <t>Ramankutty, N., and J.A. Foley (1999). Estimating historical changes in global land cover: croplands from 1700 to 1992, Global Biogeochemical Cycles 13(4), 997-1027.</t>
  </si>
  <si>
    <t>https://zenodo.org/records/17828801</t>
  </si>
  <si>
    <t>1700-1992</t>
  </si>
  <si>
    <t>Gridded livestock of the world 2010</t>
  </si>
  <si>
    <t>GLW3</t>
  </si>
  <si>
    <t>https://www.fao.org/land-water/land/land-governance/land-resources-planning-toolbox/category/details/en/c/1236449/</t>
  </si>
  <si>
    <t>Cai &amp; Zeng, 2025</t>
  </si>
  <si>
    <t>Y. Cai and Z. Zeng. SEA\_Cropland10: Annual 10-m High-Resolution Cropland Maps for Southeast Asia since 2019. Dec. 2025. DOI: 10.5281/zenodo.17828801. (Visited on 06/10/2026).</t>
  </si>
  <si>
    <t>Southeast Asia</t>
  </si>
  <si>
    <t>Fertilizer</t>
  </si>
  <si>
    <t>CROPGRIDS, MRF 2000, Fertilizer Per-Crop</t>
  </si>
  <si>
    <t>FAO 2010</t>
  </si>
  <si>
    <t>https://figshare.com/articles/dataset/NPKGRIDS/24616050/4</t>
  </si>
  <si>
    <t>Nguyen et al., 2024</t>
  </si>
  <si>
    <t>T. H. Nguyen, F. H. M. Tang, G. Conchedda, et al. &amp;ldquo;NPKGRIDS: A Global Georeferenced Dataset of N, P2O5, and K2O Fertilizer Application Rates for 173 Crops&amp;rdquo;. In: Scientific Data 11.1 (Oct. 2024), p. 1179. ISSN: 2052-4463. DOI: 10.1038/s41597-024-04030-4. (Visited on 06/22/2026).</t>
  </si>
  <si>
    <t>irrigation</t>
  </si>
  <si>
    <t>Global data set of monthly irrigated and rainfed crop areas around the year 2000</t>
  </si>
  <si>
    <t>MIRCA2000</t>
  </si>
  <si>
    <t>https://www.uni-frankfurt.de/45218023/MIRCA</t>
  </si>
  <si>
    <t>Ludemann et al., 2022</t>
  </si>
  <si>
    <t>Ramankutty cropland</t>
  </si>
  <si>
    <t>C. Ludemann, A. Gruere, P. Heffer, et al. Global Data on Fertilizer Use by Crop and by Country. May. 2022. DOI: 10.5061/DRYAD.2RBNZS7QH. (Visited on 06/10/2026).</t>
  </si>
  <si>
    <t>Field Size, Water Erosion, Ammonia emissions, Nitrous oxide emissions, MRF 2000, HYDE, SPAM, CRU</t>
  </si>
  <si>
    <t>FAOSTAT, IFA, HFUBC, EUROSTAT, World Bank, CAMI, CTIC</t>
  </si>
  <si>
    <t xml:space="preserve">cropland </t>
  </si>
  <si>
    <t>N fertilizer use for 1961–2011</t>
  </si>
  <si>
    <t>Zhang Nitrogen</t>
  </si>
  <si>
    <t>https://www.nature.com/articles/nature15743</t>
  </si>
  <si>
    <t>Adalibieke et al., 2023</t>
  </si>
  <si>
    <t>W. Adalibieke, X. Cui, H. Cai, et al. &amp;ldquo;Global Crop-Specific Nitrogen Fertilization Dataset in 1961&amp;ndash;2020&amp;rdquo;. In: Scientific Data 10.1 (Sep. 2023), p. 617. ISSN: 2052-4463. DOI: 10.1038/s41597-023-02526-z. (Visited on 03/11/2026).</t>
  </si>
  <si>
    <t>past, present, and
future extent of shifting cultivation</t>
  </si>
  <si>
    <t>Heinimann 2017</t>
  </si>
  <si>
    <t>GLAD GFC, Sentinel-2</t>
  </si>
  <si>
    <t>Fertilizer Per-Crop</t>
  </si>
  <si>
    <t>HFUBC, USDA ERS, FAOSTAT, National Statistics</t>
  </si>
  <si>
    <t>biodiversity</t>
  </si>
  <si>
    <t>Mueller, 2012</t>
  </si>
  <si>
    <t>threat</t>
  </si>
  <si>
    <t>RegRed</t>
  </si>
  <si>
    <t>N. Mueller. Crop-Specific Global Fertilizer Application Rates from &amp;quot;Closing Yield Gaps through Nutrient and Water Management. Oct. 2012. DOI: 10.5281/zenodo.5260732. (Visited on 06/10/2026).</t>
  </si>
  <si>
    <t>RegRed MOBI</t>
  </si>
  <si>
    <t>Atlas</t>
  </si>
  <si>
    <t>Atlas MOBI</t>
  </si>
  <si>
    <t>FAOSTAT, FertiStat, IFA, USDA</t>
  </si>
  <si>
    <t>BioTime</t>
  </si>
  <si>
    <t>point</t>
  </si>
  <si>
    <t>https://biotime.st-andrews.ac.uk/</t>
  </si>
  <si>
    <t>Zhang et al., 2015</t>
  </si>
  <si>
    <t>X. Zhang, E. A. Davidson, D. L. Mauzerall, et al. &amp;ldquo;Managing Nitrogen for Sustainable Development&amp;rdquo;. In: Nature 528.7580 (Dec. 2015), pp. 51&amp;ndash;59. ISSN: 1476-4687. DOI: 10.1038/nature15743. (Visited on 06/10/2026).</t>
  </si>
  <si>
    <t>local</t>
  </si>
  <si>
    <t>BBS</t>
  </si>
  <si>
    <t>FAOSTAT Ferilizer use</t>
  </si>
  <si>
    <t>https://www.usgs.gov/centers/eesc/science/north-american-breeding-bird-survey</t>
  </si>
  <si>
    <t>FAOSTAT, 2025</t>
  </si>
  <si>
    <t>FAOSTAT. Fertilizers by Nutrient. 2025.</t>
  </si>
  <si>
    <t>fallow land</t>
  </si>
  <si>
    <t>FAOSTAT Nutrient input</t>
  </si>
  <si>
    <t>FAOSTAT Nutrients</t>
  </si>
  <si>
    <t>FAOSTAT. Cropland Nutrient Balance. 2025.</t>
  </si>
  <si>
    <t>https://doi.org/10.2909/fa304e7c-771c-4ffb-b0f4-7e302a0d5081</t>
  </si>
  <si>
    <t>Fertilizer and Manure</t>
  </si>
  <si>
    <t>MRF 2000, GLW</t>
  </si>
  <si>
    <t>HFUBC, FAOSTAT, OECD</t>
  </si>
  <si>
    <t>environment</t>
  </si>
  <si>
    <t>forest</t>
  </si>
  <si>
    <t>drivers</t>
  </si>
  <si>
    <t>WRI/Google DeepMind Global Drivers of Forest Loss 2001-2024 v1.2</t>
  </si>
  <si>
    <t>Deepmind deforestation</t>
  </si>
  <si>
    <t>https://zenodo.org/records/15366671</t>
  </si>
  <si>
    <t>Potter et al., 2025</t>
  </si>
  <si>
    <t>P. Potter, N. S. Data, and pplications Center (SEDAC). Global Fertilizer and Manure, Version 1: Phosphorus in Manure Production. 2025. DOI: 10.7910/DVN/P8MWOW. (Visited on 06/10/2026).</t>
  </si>
  <si>
    <t>Sims, M., Stanimirova, R., Raichuk, A., Neumann, M., Richter, J., Follett, F., MacCarthy, J., Lister, K., Randle, C., Sloat, L., Esipova, E., Jupiter, J., Stanton, C., Morris, D., Slay, C. M., Purves, D., &amp; Harris, N. (2025). Global drivers of forest loss at 1 km resolution [Data set]. Zenodo. https://doi.org/10.5281/zenodo.15366671</t>
  </si>
  <si>
    <t>2001-2024</t>
  </si>
  <si>
    <t>EuropeAgriDB</t>
  </si>
  <si>
    <t>Permanent agriculture, Hard commodities, Shifting cultivation, Logging, Wildfire, Settlements &amp; infrastructure, Other natural disturbances</t>
  </si>
  <si>
    <t>FAOSTAT, EUROSTAT, National Statistics, IFA</t>
  </si>
  <si>
    <t>impact</t>
  </si>
  <si>
    <t>light</t>
  </si>
  <si>
    <t>Light pollution Atlas</t>
  </si>
  <si>
    <t>https://djlorenz.github.io/astronomy/lp/</t>
  </si>
  <si>
    <t>Last of the Wild Project, Version 2, 2005 (LWP-2): Global Human Influence Index (HII) Dataset (Geographic)</t>
  </si>
  <si>
    <t>Last of the wild</t>
  </si>
  <si>
    <t>Lassaletta, 2021</t>
  </si>
  <si>
    <t>https://www.earthdata.nasa.gov/data/catalog/sedac-ciesin-sedac-lwp2-hii-geog-2.0</t>
  </si>
  <si>
    <t>L. Lassaletta. Crop Production and Nitrogen Use in European Cropland and Grassland 1961-2019. Oct. 2021. DOI: 10.6084/m9.figshare.c.5320772.v1. (Visited on 06/10/2026).</t>
  </si>
  <si>
    <t xml:space="preserve">Concentrations of heavy metals and nutrients in agricultural soils </t>
  </si>
  <si>
    <t>Nutrient &amp; Heavy Metal</t>
  </si>
  <si>
    <t>https://sdi.eea.europa.eu/catalogue/srv/eng/catalog.search#/metadata/edbbd466-b845-4e4c-acf9-905ec5e28766</t>
  </si>
  <si>
    <t>Global nighttime light dataset from 1992 to 2022</t>
  </si>
  <si>
    <t>Nighttime light</t>
  </si>
  <si>
    <t>30 MB</t>
  </si>
  <si>
    <t>EEA, 2020</t>
  </si>
  <si>
    <t>https://www.nature.com/articles/s41597-025-05246-8#Sec8</t>
  </si>
  <si>
    <t>EEA. Concentrations of Heavy Metals and Nutrients in Agricultural Soils. 2020.</t>
  </si>
  <si>
    <t>shp</t>
  </si>
  <si>
    <t>Grassland</t>
  </si>
  <si>
    <t>Conservation Technology Research Centre Grassland Data</t>
  </si>
  <si>
    <t>CTIC Grassland</t>
  </si>
  <si>
    <t>https://ctic.org/optis/grasslands/vegetation-types/</t>
  </si>
  <si>
    <t>Tang, hui; Zhong, yongde; Xia, hongling, 2024, "Global nighttime light dataset from 1992 to 2022 with focus on low-light areas（updated）", https://doi.org/10.7910/DVN/15IKI5, Harvard Dataverse, V2</t>
  </si>
  <si>
    <t>1992-2022</t>
  </si>
  <si>
    <t>urban</t>
  </si>
  <si>
    <t>Degree of urbanization</t>
  </si>
  <si>
    <t>Urbanization</t>
  </si>
  <si>
    <t>NA</t>
  </si>
  <si>
    <t>CTIC, 2022</t>
  </si>
  <si>
    <t>CTIC. Vegetation Types. 2022. (Visited on 06/10/2026).</t>
  </si>
  <si>
    <t>river basin</t>
  </si>
  <si>
    <t>https://human-settlement.emergency.copernicus.eu/ghs_smod2023.php</t>
  </si>
  <si>
    <t>LUCAS, National Statistics</t>
  </si>
  <si>
    <t>Schiavina M., Melchiorri M., Pesaresi M. (2023):
 GHS-SMOD R2023A - GHS settlement layers, application of the Degree of Urbanisation methodology (stage I) to GHS-POP R2023A and GHS-BUILT-S R2023A, multitemporal (1975-2030)European Commission, Joint Research Centre (JRC)
 PID: http://data.europa.eu/89h/a0df7a6f-49de-46ea-9bde-563437a6e2ba, doi:10.2905/A0DF7A6F-49DE-46EA-9BDE-563437A6E2BA</t>
  </si>
  <si>
    <t>1975-2030</t>
  </si>
  <si>
    <t>EEA. Grassland 2017 - Present (Raster 10 m), Europe, Yearly, Nov. 2024. 2024. DOI: 10.2909/0B6254BB-4C7D-41D9-8EAE-C43B05AB2965. (Visited on 06/10/2026).</t>
  </si>
  <si>
    <t>population</t>
  </si>
  <si>
    <t>Resident population grid</t>
  </si>
  <si>
    <t>Resident pop</t>
  </si>
  <si>
    <t>XXXXX</t>
  </si>
  <si>
    <t>https://human-settlement.emergency.copernicus.eu/ghs_pop2023.php</t>
  </si>
  <si>
    <t>USDA Rangeland Productivity</t>
  </si>
  <si>
    <t>US Rangeland</t>
  </si>
  <si>
    <t>LANDFIRE</t>
  </si>
  <si>
    <t>3 GB</t>
  </si>
  <si>
    <t>https://data.fs.usda.gov/geodata/rastergateway/rangelands/index.php</t>
  </si>
  <si>
    <t>Reeves &amp; Mitchell, 2011</t>
  </si>
  <si>
    <t>Schiavina M., Freire S., Carioli A., MacManus K. (2023):
 GHS-POP R2023A - GHS population grid multitemporal (1975-2030).European Commission, Joint Research Centre (JRC)
 PID: http://data.europa.eu/89h/2ff68a52-5b5b-4a22-8f40-c41da8332cfe, doi:10.2905/2FF68A52-5B5B-4A22-8F40-C41DA8332CFE</t>
  </si>
  <si>
    <t>M. C. Reeves and J. Mitchell. &amp;ldquo;Extent of Coterminous US Rangelands: Quantifying Implications of Differing Agency Perspectives&amp;rdquo;. In: Rangeland Ecology and Management. 64(6): 585-597. (2011), pp. 585&amp;ndash;597. (Visited on 06/10/2026).</t>
  </si>
  <si>
    <t>250 m</t>
  </si>
  <si>
    <t>0.25</t>
  </si>
  <si>
    <t>Global Human Settlement Layer</t>
  </si>
  <si>
    <t>GHSL</t>
  </si>
  <si>
    <t xml:space="preserve">Annual 30-m maps of global grassland class and extent (2000–2022) </t>
  </si>
  <si>
    <t>GPW</t>
  </si>
  <si>
    <t>Copernicus DEM, Accessibility</t>
  </si>
  <si>
    <t>Landsat-ARD2, MODIS, VHRI</t>
  </si>
  <si>
    <t>48 GB</t>
  </si>
  <si>
    <t>https://zenodo.org/records/15646181</t>
  </si>
  <si>
    <t>CORINE Land Cover</t>
  </si>
  <si>
    <t>CORINE LC</t>
  </si>
  <si>
    <t>125 MB</t>
  </si>
  <si>
    <t>https://land.copernicus.eu/en/products/corine-land-cover</t>
  </si>
  <si>
    <t>Parente et al., 2025</t>
  </si>
  <si>
    <t>L. Parente, L. Sloat, V. Mesquita, et al. Global Pasture Watch - Annual Grassland Class and Extent Maps at 30-m Spatial Resolution (2000&amp;mdash;2024). Jun. 2025. DOI: 10.5281/zenodo.15646181. (Visited on 06/10/2026).</t>
  </si>
  <si>
    <t>Intensity &amp; Management</t>
  </si>
  <si>
    <t>EU Irrigation</t>
  </si>
  <si>
    <t>Copernicus</t>
  </si>
  <si>
    <t>8 MB</t>
  </si>
  <si>
    <t>100m</t>
  </si>
  <si>
    <t>JRC, 2022</t>
  </si>
  <si>
    <t>1990-2018</t>
  </si>
  <si>
    <t>JRC. Irrigated Crops in Europe. 2022.</t>
  </si>
  <si>
    <t>Global Intra-Urban Land Use</t>
  </si>
  <si>
    <t>Intra-Urban Land Use</t>
  </si>
  <si>
    <t>https://gee-community-catalog.org/projects/giulu/</t>
  </si>
  <si>
    <t>Cropping Intensity</t>
  </si>
  <si>
    <t>USDA NASS CDL, Canada ACI, ChinaCover, SERVIR, USGS NLCD, USGS GFSAD30, FROM-GLC, MapBiomas, INTA</t>
  </si>
  <si>
    <t>Landsat-7, Landsat-8, Sentinel-2, MODIS</t>
  </si>
  <si>
    <t>Guzder-Williams, Brookie, Eric Mackres, Shlomo Angel, Alejandro M. Blei, and Patrick Lamson-Hall. "Intra-urban land use maps for a global sample of cities from Sentinel-2 satellite imagery and computer vision." Computers, Environment and Urban Systems 100 (2023): 101917.</t>
  </si>
  <si>
    <t>5m</t>
  </si>
  <si>
    <t>0.005</t>
  </si>
  <si>
    <t>European Settlement Map 2015</t>
  </si>
  <si>
    <t>Europe settlement</t>
  </si>
  <si>
    <t>Zhang et al., 2020</t>
  </si>
  <si>
    <t>M. Zhang, B. Wu, H. Zeng, et al. GCI30: Global Cropping Intensity at 30 m Resolution. Nov. 2020. DOI: 10.7910/DVN/86M4PO. (Visited on 06/10/2026).</t>
  </si>
  <si>
    <t>https://human-settlement.emergency.copernicus.eu/esm_R2019.php</t>
  </si>
  <si>
    <t>Estimating the global distribution of field size using crowdsourcing</t>
  </si>
  <si>
    <t>Crowdsource Field Size</t>
  </si>
  <si>
    <t>ESA LC, Globeland30</t>
  </si>
  <si>
    <t>40 MB</t>
  </si>
  <si>
    <t>https://pure.iiasa.ac.at/id/eprint/15526/</t>
  </si>
  <si>
    <t>Corbane C., Sabo F. (2019):
 European Settlement Map from Copernicus Very High Resolution data for reference year 2015, Public Release 2019.European Commission, Joint Research Centre (JRC)doi: 10.2905/8BD2B792-CC33-4C11-AFD1-B8DD60B44F3B PID: http://data.europa.eu/89h/8bd2b792-cc33-4c11-afd1-b8dd60b44f3b</t>
  </si>
  <si>
    <t>Lesiv et al., 2018</t>
  </si>
  <si>
    <t>M. Lesiv, J. C. L. Bayas, L. See, et al. Estimating the Global Distribution of Field Size Using Crowdsourcing. Oct. 2018. (Visited on 06/10/2026).</t>
  </si>
  <si>
    <t>10-m maps of cropland use intensity in China during 2018–2023</t>
  </si>
  <si>
    <t>China Intensity</t>
  </si>
  <si>
    <t>ESA LC, FROM-GLC</t>
  </si>
  <si>
    <t>19 GB</t>
  </si>
  <si>
    <t>2m, 10 m</t>
  </si>
  <si>
    <t>0.002</t>
  </si>
  <si>
    <t>https://www.nature.com/articles/s41597-024-03456-0?fromPaywallRec=false</t>
  </si>
  <si>
    <t>productivity</t>
  </si>
  <si>
    <t>HANPP</t>
  </si>
  <si>
    <t>HANPP Collection: Global Patterns in Human Appropriation of Net Primary Productivity (HANPP)</t>
  </si>
  <si>
    <t>HANPP collection</t>
  </si>
  <si>
    <t>https://www.earthdata.nasa.gov/data/catalog/sedac-ciesin-sedac-hanpp-1.0</t>
  </si>
  <si>
    <t>QIU et al., 2024</t>
  </si>
  <si>
    <t>B. QIU, B. LIU, W. Xu, et al. No.1 National-scale 10-m Maps of Cropland Use Intensity in China during 2018-2023. 2024. DOI: 10.6084/M9.FIGSHARE.24603234. (Visited on 06/10/2026).</t>
  </si>
  <si>
    <t>Imhoff, M. L., Bounoua, L., Ricketts, T., Loucks, C., Harriss, R., &amp;amp; Lawrence, W. T. (2004). &lt;i&gt;HANPP Collection: Global Patterns in Human Appropriation of Net Primary Productivity (HANPP)&lt;/i&gt; (Version 1.00) [Data set]. Palisades, NY: NASA Socioeconomic Data and Applications Center (SEDAC). https://doi.org/10.7927/H44Q7RWV Date Accessed: 2026-01-22</t>
  </si>
  <si>
    <t>25km</t>
  </si>
  <si>
    <t>NPP</t>
  </si>
  <si>
    <t>MODIS/Terra Net Primary Production Gap-Filled Yearly L4 Global 500m SIN Grid V061</t>
  </si>
  <si>
    <t>MODIS NPP</t>
  </si>
  <si>
    <t>Annual dynamic dataset of global cropping intensity from 2001 to 2019</t>
  </si>
  <si>
    <t xml:space="preserve">10GB </t>
  </si>
  <si>
    <t>Cropping Intensity Change</t>
  </si>
  <si>
    <t>https://www.earthdata.nasa.gov/data/catalog/lpcloud-mod17a3hgf-061</t>
  </si>
  <si>
    <t>3.7 GB</t>
  </si>
  <si>
    <t>https://www.nature.com/articles/s41597-021-01065-9</t>
  </si>
  <si>
    <t>Liu et al., 2021</t>
  </si>
  <si>
    <t>Running, S., &amp;amp; Zhao, M. (2021). &lt;i&gt;MODIS/Terra Net Primary Production Gap-Filled Yearly L4 Global 500m SIN Grid V061&lt;/i&gt; [Data set]. NASA Land Processes Distributed Active Archive Center. https://doi.org/10.5067/MODIS/MOD17A3HGF.061 Date Accessed: 2026-01-22</t>
  </si>
  <si>
    <t>X. Liu, J. Zheng, L. Yu, et al. Annual Dynamic Dataset of Global Cropping Intensity from 2001 to 2019. 2021. DOI: 10.6084/M9.FIGSHARE.14099402. (Visited on 06/10/2026).</t>
  </si>
  <si>
    <t>500m</t>
  </si>
  <si>
    <t>2001-2025</t>
  </si>
  <si>
    <t>soil</t>
  </si>
  <si>
    <t>SoilGrids</t>
  </si>
  <si>
    <t>Conterminous United States crop field size quantification from multi-temporal Landsat data</t>
  </si>
  <si>
    <t>MB</t>
  </si>
  <si>
    <t>US Field Size</t>
  </si>
  <si>
    <t>https://isric.org/explore/soilgrids</t>
  </si>
  <si>
    <t>Landsat-5, Landsat-7</t>
  </si>
  <si>
    <t>https://lcluc.umd.edu/metadata/conterminous-united-states-conus-field-extraction</t>
  </si>
  <si>
    <t>2006?</t>
  </si>
  <si>
    <t>Harmonized World Soild Database</t>
  </si>
  <si>
    <t>HarmonizedWorldSoil</t>
  </si>
  <si>
    <t>Yan &amp; Roy, 2016</t>
  </si>
  <si>
    <t>L. Yan and D. P. Roy. &amp;ldquo;Conterminous United States Crop Field Size Quantification from Multi-Temporal Landsat Data&amp;rdquo;. In: Remote Sensing of Environment 172 (Jan. 2016), pp. 67&amp;ndash;86. ISSN: 0034-4257. DOI: 10.1016/j.rse.2015.10.034. (Visited on 06/10/2026).</t>
  </si>
  <si>
    <t>binary</t>
  </si>
  <si>
    <t>https://www.fao.org/soils-portal/data-hub/soil-maps-and-databases/harmonized-world-soil-database-v20/en/</t>
  </si>
  <si>
    <t>https://www.dropbox.com/scl/fi/9hr10 mzm3tvs4ql4rqd1f/ReleaseData.7z?dl=0%0A7-zip+compressed+file+size+249MB+(uncompressed+42GB)%0A&amp;e=1&amp;rlkey=69c2ivhqmzi8k1mdd1bl62xz9</t>
  </si>
  <si>
    <t>salts</t>
  </si>
  <si>
    <t>Global salt affected soils</t>
  </si>
  <si>
    <t>GlobalSoil Salt</t>
  </si>
  <si>
    <t>https://www.fao.org/soils-portal/data-hub/soil-maps-and-databases/global-map-of-salt-affected-soils/en/</t>
  </si>
  <si>
    <t>The first global agricultural field boundary map at 10 m resolution</t>
  </si>
  <si>
    <t>FTW</t>
  </si>
  <si>
    <t>https://www.microsoft.com/en-us/research/wp-content/uploads/2026/04/FTW_Global_Map_v1.1.pdf</t>
  </si>
  <si>
    <t>carbon</t>
  </si>
  <si>
    <t>Global soil organic carbon</t>
  </si>
  <si>
    <t>GlobalSoil Carbon</t>
  </si>
  <si>
    <t>800 MB</t>
  </si>
  <si>
    <t>https://www.fao.org/soils-portal/data-hub/soil-maps-and-databases/global-soil-organic-carbon-map-gsocmap/en/</t>
  </si>
  <si>
    <t>Robinson et al., 2026</t>
  </si>
  <si>
    <t>C. Robinson, G. Muhawenayo, S. Khanal, et al. The First Global Agricultural Field Boundary Map at 10 m Resolution. May. 2026. DOI: 10.48550/arXiv.2605.11055. arXiv: 2605.11055 [cs.CV]. (Visited on 06/02/2026).</t>
  </si>
  <si>
    <t>GeoTFF</t>
  </si>
  <si>
    <t xml:space="preserve">Development of historical maps of land use-land cover, crop type, nutrients, and irrigation across CONUS (1938–2020) at different spatial resolutions </t>
  </si>
  <si>
    <t>HLNID</t>
  </si>
  <si>
    <t>USGS NLCD, USDA NASS CDL, LCMAP, MIrAD-US</t>
  </si>
  <si>
    <t>400 MB</t>
  </si>
  <si>
    <t>https://datadryad.org/share/0OQ59-ZZKmzDgcWs-qySOeckvainNTyILzyeuZIZH6w</t>
  </si>
  <si>
    <t>LUCAS 2009 TOPSOIL</t>
  </si>
  <si>
    <t>LUCAS TOPSOIL</t>
  </si>
  <si>
    <t>request</t>
  </si>
  <si>
    <t>https://esdac.jrc.ec.europa.eu/content/lucas-2009-topsoil-data</t>
  </si>
  <si>
    <t>Booth &amp; Kucharik, 2026</t>
  </si>
  <si>
    <t>E. Booth and C. Kucharik. Harmonized Land Nutrient Irrigation Dataset (HLNID) for Conterminous United States, 1938-2020. May. 2026. DOI: 10.5061/DRYAD.R4XGXD2RH. (Visited on 06/22/2026).</t>
  </si>
  <si>
    <t>Toth G., Jones A., Montanarella L. (2013) The LUCAS topsoil database and derived information on the regional variability of cropland topsoil properties in the European Union. Environmental Monitoring and Assessment, 185 (9), pp. 7409-7425.</t>
  </si>
  <si>
    <t>Mapping global cropland and field size</t>
  </si>
  <si>
    <t>Global Field Size</t>
  </si>
  <si>
    <t>GlobCover, AFRICOVER, GLC2000, CORINE LC, National LC</t>
  </si>
  <si>
    <t>Global Rural-Urban Mapping Project, Version 1</t>
  </si>
  <si>
    <t>GRUMPv1</t>
  </si>
  <si>
    <t>https://dataverse.harvard.edu/dataset.xhtml?persistentId=doi:10.7910/DVN/USMCOR</t>
  </si>
  <si>
    <t>https://onlinelibrary.wiley.com/doi/10.1111/gcb.12838</t>
  </si>
  <si>
    <t>Fritz et al., 2015</t>
  </si>
  <si>
    <t>S. Fritz, L. See, I. McCallum, et al. &amp;ldquo;Mapping Global Cropland and Field Size&amp;rdquo;. In: Global Change Biology 21.5 (May. 2015), pp. 1980&amp;ndash;1992. ISSN: 1354-1013, 1365-2486. DOI: 10.1111/gcb.12838. (Visited on 06/10/2026).</t>
  </si>
  <si>
    <t>TIFF</t>
  </si>
  <si>
    <t>Global Urban Footprint</t>
  </si>
  <si>
    <t>GUF</t>
  </si>
  <si>
    <t>signal</t>
  </si>
  <si>
    <t>Global coverage of mobile services</t>
  </si>
  <si>
    <t>Ramankutty mobile</t>
  </si>
  <si>
    <t>https://www.nature.com/articles/s41893-020-00631-0</t>
  </si>
  <si>
    <t>EUROSTAT Farm Intensity</t>
  </si>
  <si>
    <t>https://ec.europa.eu/eurostat/databrowser/view/aei_ps_inp/default/table?lang=en&amp;category=agr.aei.aei_char</t>
  </si>
  <si>
    <t>Intact Forest Landscape</t>
  </si>
  <si>
    <t>IFL</t>
  </si>
  <si>
    <t>https://www.science.org/doi/10.1126/sciadv.1600821</t>
  </si>
  <si>
    <t>Eurostat, 2025</t>
  </si>
  <si>
    <t>Eurostat. Landwirtschaftliche Nutzfläche Verwaltet von Landwirtschaftlichen Betrieben Mit Niedrigem, Mittlerem Und Hohem Input. 2025. DOI: 10.2908/AEI_PS_INP. (Visited on 06/10/2026).</t>
  </si>
  <si>
    <t>OECD Agro Indicators</t>
  </si>
  <si>
    <t>MIAMI-LU Model NPP and Recovery</t>
  </si>
  <si>
    <t>https://www.pnas.org/doi/10.1073/pnas.012249999</t>
  </si>
  <si>
    <t>Land Cover (GLCNMO) - Global version</t>
  </si>
  <si>
    <t>GLCNMO</t>
  </si>
  <si>
    <t>bare ground</t>
  </si>
  <si>
    <t>Global bare ground gain from 2000 to 2012 using Landsat imagery</t>
  </si>
  <si>
    <t>GBG</t>
  </si>
  <si>
    <t>Global Forest Change 2000-2012</t>
  </si>
  <si>
    <t>https://www.science.org/doi/10.1126/science.1244693</t>
  </si>
  <si>
    <t>OECD, 2026</t>
  </si>
  <si>
    <t>OECD. Agri-Environmental Indicators. 2026.</t>
  </si>
  <si>
    <t>International Agricultural Productivity</t>
  </si>
  <si>
    <t>Productivity indices</t>
  </si>
  <si>
    <t>FAOSTAT, GLC2000, DISCover, IGBP, National Statistics</t>
  </si>
  <si>
    <t>Klein Goldewijk, K., Van Drecht, G. &amp; Bouwman, A. F. (2006) Contemporary global cropland and
grassland distributions on a 5 x 5 minute resolution. Journal of Land Use Science, 2, 167-190.</t>
  </si>
  <si>
    <t>USDA ERS, 2026</t>
  </si>
  <si>
    <t>USDA ERS. International Agricultural Productivity. 2026.</t>
  </si>
  <si>
    <t>AVHRR</t>
  </si>
  <si>
    <t>VEGA2000, SPOT4</t>
  </si>
  <si>
    <t>ESA Land Cover consortium maps</t>
  </si>
  <si>
    <t>ESA LC</t>
  </si>
  <si>
    <t>MERIS</t>
  </si>
  <si>
    <t>Farm Avg Size</t>
  </si>
  <si>
    <t>vegetation</t>
  </si>
  <si>
    <t>Ramankutty potential natural vegetation</t>
  </si>
  <si>
    <t>AVHRR, MODIS, NOAA-14</t>
  </si>
  <si>
    <t>https://www.earthdata.nasa.gov/data/catalog/ornl-cloud-potential-veg-xdeg-961-1</t>
  </si>
  <si>
    <t>SPEI</t>
  </si>
  <si>
    <t>Lowder et al., 2016</t>
  </si>
  <si>
    <t>Protected areas</t>
  </si>
  <si>
    <t>S. K. Lowder, J. Skoet, and T. Raney. &amp;ldquo;The Number, Size, and Distribution of Farms, Smallholder Farms, and Family Farms Worldwide&amp;rdquo;. In: World Development 87 (Nov. 2016), pp. 16&amp;ndash;29. ISSN: 0305750X. DOI: 10.1016/j.worlddev.2015.10.041. (Visited on 06/10/2026).</t>
  </si>
  <si>
    <t>climate</t>
  </si>
  <si>
    <t>melioration</t>
  </si>
  <si>
    <t>MIRCA2000, GlobCover, AFRICOVER, GLC2000, ISCGM, CORINE LC, GRUMPv1, SASAM-GC</t>
  </si>
  <si>
    <t>AgroMAPS, AQUASTAT, National Statistics</t>
  </si>
  <si>
    <t>IFPRI, 2026</t>
  </si>
  <si>
    <t>IFPRI. Global Spatially-Disaggregated Crop Production Statistics Data for 2020 Version 2.0 Release 2. May. 2026. DOI: 10.7910/DVN/SWPENT. (Visited on 06/10/2026).</t>
  </si>
  <si>
    <t>USDA NASS CDL, MRF 2000, CRU, ETOPO5, GMIA, CRU</t>
  </si>
  <si>
    <t>Portmann et al., 2010</t>
  </si>
  <si>
    <t>F. T. Portmann, S. Siebert, and P. Döll. &amp;ldquo;MIRCA2000&amp;mdash;Global Monthly Irrigated and Rainfed Crop Areas around the Year 2000: A New High-resolution Data Set for Agricultural and Hydrological Modeling&amp;rdquo;. In: Global Biogeochemical Cycles 24.1 (Mar. 2010), p. 2008GB003435. ISSN: 0886-6236, 1944-9224. DOI: 10.1029/2008GB003435. (Visited on 06/10/2026).</t>
  </si>
  <si>
    <t>EU Farm statistics experimental map</t>
  </si>
  <si>
    <t>EU Farm Statistics</t>
  </si>
  <si>
    <t>https://ec.europa.eu/eurostat/web/experimental-statistics/geospatial-data-agricultural-census</t>
  </si>
  <si>
    <t>Olav Skøien et al., 2025</t>
  </si>
  <si>
    <t>J. Olav Skøien, N. Lampach, H. Ramos, et al. &amp;ldquo;A Flexible Approach for Statistical Disclosure Control in Geospatial Data&amp;rdquo;. In: Journal of Geographical Systems 27.3 (Jul. 2025), pp. 341&amp;ndash;367. ISSN: 1435-5949. DOI: 10.1007/s10109-025-00472-5. (Visited on 03/11/2026).</t>
  </si>
  <si>
    <t>Global Map of Irrigated Areas</t>
  </si>
  <si>
    <t>GMIA</t>
  </si>
  <si>
    <t xml:space="preserve">GLC2000, USGS GLCC, </t>
  </si>
  <si>
    <t>AQUASTAT, FAOSTAT, World Bank, National Statistics</t>
  </si>
  <si>
    <t>https://www.fao.org/aquastat/en/geospatial-information/global-maps-irrigated-areas/latest-version/</t>
  </si>
  <si>
    <t>AQUASTAT, 2013</t>
  </si>
  <si>
    <t>AQUASTAT. Global Map of Irrigated Areas. 2013.</t>
  </si>
  <si>
    <t>ascii grid</t>
  </si>
  <si>
    <t>Copernicus Ploughing</t>
  </si>
  <si>
    <t>https://land.copernicus.eu/en/products/high-resolution-layer-grasslands/ploughing-indicator-2023-raster-10-m-europe-yearly</t>
  </si>
  <si>
    <t>EEA. Ploughing Indicator 2017 - Present (Raster 10 m), Europe, Yearly, Nov. 2024. 2024. DOI: 10.2909/1D25633A-6BCB-49CC-A6A6-EBC5C7B360A3. (Visited on 06/10/2026).</t>
  </si>
  <si>
    <t xml:space="preserve">Intensification trend of agroecosystems </t>
  </si>
  <si>
    <t>EU Intensity Trend</t>
  </si>
  <si>
    <t>https://sdi.eea.europa.eu/catalogue/srv/eng/catalog.search#/metadata/b3ea4f87-3472-4c29-9724-78585b416188</t>
  </si>
  <si>
    <t>EEA, 2016</t>
  </si>
  <si>
    <t>EEA. Intensification Trend of Agroecosystems. 2016.</t>
  </si>
  <si>
    <t xml:space="preserve">Moderate Resolution Imaging Spectroradiometer (MODIS) Irrigated Agriculture Dataset for the United States (MIrAD-US) </t>
  </si>
  <si>
    <t>MIrAD-US</t>
  </si>
  <si>
    <t>USGS NLCD</t>
  </si>
  <si>
    <t>USDA FSA CLU</t>
  </si>
  <si>
    <t>https://www.usgs.gov/special-topics/monitoring-vegetation-drought-stress/science/moderate-resolution-imaging</t>
  </si>
  <si>
    <t>Pervez &amp; Brown, 2010</t>
  </si>
  <si>
    <t>M. S. Pervez and J. F. Brown. &amp;ldquo;Mapping Irrigated Lands at 250-m Scale by Merging MODIS Data and National Agricultural Statistics&amp;rdquo;. In: Remote Sensing 2.10 (Oct. 2010), pp. 2388&amp;ndash;2412. ISSN: 2072-4292. DOI: 10.3390/rs2102388. (Visited on 06/10/2026).</t>
  </si>
  <si>
    <t>Livestock</t>
  </si>
  <si>
    <t>FAOSTAT. Livestock Patterns. 2025.</t>
  </si>
  <si>
    <t>Grazing livestock density index</t>
  </si>
  <si>
    <t>Eurostat. Grazing Livestock Density. 2025. DOI: 10.2908/EF_FSI_GRDS. (Visited on 06/10/2026).</t>
  </si>
  <si>
    <t>Gridded livestock of the world 2-4</t>
  </si>
  <si>
    <t>GLW</t>
  </si>
  <si>
    <t>WDPA, GLC2000, IUCN, GRUMPv1, GLAD GFC</t>
  </si>
  <si>
    <t>https://www.nature.com/articles/sdata2018227</t>
  </si>
  <si>
    <t>Gilbert et al., 2018</t>
  </si>
  <si>
    <t>M. Gilbert, G. Nicolas, G. Cinardi, et al. &amp;ldquo;Global Distribution Data for Cattle, Buffaloes, Horses, Sheep, Goats, Pigs, Chickens and Ducks in 2010&amp;rdquo;. In: Scientific Data 5.1 (Oct. 2018), p. 180227. ISSN: 2052-4463. DOI: 10.1038/sdata.2018.227. (Visited on 06/10/2026).</t>
  </si>
  <si>
    <t>Harmonized livestock number dataset for Europe</t>
  </si>
  <si>
    <t>EU Livestock</t>
  </si>
  <si>
    <t>https://doi.org/10.5281/zenodo.11058509</t>
  </si>
  <si>
    <t>Malek et al., 2024</t>
  </si>
  <si>
    <t>Ž. Malek, Z. Romanchuk, O. Yashschun, et al. Harmonized Livestock Number Dataset for Europe. Apr. 2024. DOI: 10.5281/ZENODO.11058509. (Visited on 06/10/2026).</t>
  </si>
  <si>
    <t>Annual global grided livestock mapping from 1961 to 2021</t>
  </si>
  <si>
    <t>AGLW</t>
  </si>
  <si>
    <t>GLW, FROM-GLC, WorldPop</t>
  </si>
  <si>
    <t>MODIS, NOAA AVHRR</t>
  </si>
  <si>
    <t>17 GB</t>
  </si>
  <si>
    <t>https://zenodo.org/records/17128483</t>
  </si>
  <si>
    <t>Du et al., 2025</t>
  </si>
  <si>
    <t>Z. Du, L. Yu, Y. Zhao, et al. Annual Global Grided Livestock Mapping from 1961 to 2021. Sep. 2025. DOI: 10.5281/ZENODO.11545700. (Visited on 06/10/2026).</t>
  </si>
  <si>
    <t>Pesticide</t>
  </si>
  <si>
    <t>EU Pesticides Application Rates at 250 m</t>
  </si>
  <si>
    <t>EU Pesticides</t>
  </si>
  <si>
    <t>PEST-CHEMGRIDS, EUROSTAT Pesticide, EUCROPMAP, CORINE LC</t>
  </si>
  <si>
    <t>EU, FAOSTAT</t>
  </si>
  <si>
    <t>https://figshare.com/articles/dataset/Pesticides_application_rate_maps_in_the_European_Union_at_high_spatial_resolution/27743286</t>
  </si>
  <si>
    <t>Porta et al., 2025</t>
  </si>
  <si>
    <t>G. M. Porta, L. Casse, A. Manzoni, et al. &amp;ldquo;Pesticides Application Rate Maps in the European Union at a 250 m Spatial Resolution&amp;rdquo;. In: Scientific Data 12.1 (May. 2025), p. 725. ISSN: 2052-4463. DOI: 10.1038/s41597-025-05031-7. (Visited on 06/22/2026).</t>
  </si>
  <si>
    <t xml:space="preserve">FAOSTAT Pesticide use </t>
  </si>
  <si>
    <t>FAOSTAT. Pesticides Use. 2025.</t>
  </si>
  <si>
    <t>Wieben, 2020</t>
  </si>
  <si>
    <t>C. M. Wieben. Estimated Annual Agricultural Pesticide Use for Counties of the Conterminous United States, 2013-17 (Ver. 2.0, May 2020). 2020. DOI: 10.5066/P9F2SRYH. (Visited on 06/10/2026).</t>
  </si>
  <si>
    <t>55</t>
  </si>
  <si>
    <t>EUROSTAT Pesticide sales and use</t>
  </si>
  <si>
    <t>EUROSTAT Pesticide</t>
  </si>
  <si>
    <t>Eurostat, 2022</t>
  </si>
  <si>
    <t>Eurostat. Pesticide Use in Agriculture. 2022. DOI: 10.2908/AEI_PESTUSE. (Visited on 06/10/2026).</t>
  </si>
  <si>
    <t>SOILGRIDS, MRF 2000</t>
  </si>
  <si>
    <t>USGS PNSP, FAOSTAT, NASA/SEDAC</t>
  </si>
  <si>
    <t>Maggi et al., 2019</t>
  </si>
  <si>
    <t>F. Maggi, F. H. M. Tang, D. la Cecilia, et al. &amp;ldquo;PEST-CHEMGRIDS, Global Gridded Maps of the Top 20 Crop-Specific Pesticide Application Rates from 2015 to 2025&amp;rdquo;. In: Scientific Data 6.1 (Sep. 2019), p. 170. ISSN: 2052-4463. DOI: 10.1038/s41597-019-0169-4. (Visited on 06/22/2026).</t>
  </si>
  <si>
    <t>elevation</t>
  </si>
  <si>
    <t>USGS 3D Elevation</t>
  </si>
  <si>
    <t>Lidar</t>
  </si>
  <si>
    <t>ETOPO5</t>
  </si>
  <si>
    <t>Copernicus DEM</t>
  </si>
  <si>
    <t>IFL, GBG</t>
  </si>
  <si>
    <t>MODIS, NOAA-16, NOAA AVHRR</t>
  </si>
  <si>
    <t>Song et al., 2018</t>
  </si>
  <si>
    <t>X. Song, M. C. Hansen, S. V. Stehman, et al. &amp;ldquo;Global Land Change from 1982 to 2016&amp;rdquo;. In: Nature 560.7720 (Aug. 2018), pp. 639&amp;ndash;643. ISSN: 1476-4687. DOI: 10.1038/s41586-018-0411-9. (Visited on 06/10/2026).</t>
  </si>
  <si>
    <t>biome</t>
  </si>
  <si>
    <t>Ecoregions2017</t>
  </si>
  <si>
    <t>GLAD GFC, GHSL, Copernicus DEM</t>
  </si>
  <si>
    <t>Landsat-4, Landsat-5, Landsat-7</t>
  </si>
  <si>
    <t>M. C. Hansen et al. ,High-Resolution Global Maps of 21st-Century Forest Cover Change.Science342,850-853(2013).DOI:10.1126/science.1244693</t>
  </si>
  <si>
    <t>cellular</t>
  </si>
  <si>
    <t>A suite of global accessibility indicators</t>
  </si>
  <si>
    <t>Accessibility</t>
  </si>
  <si>
    <t xml:space="preserve">GHSL, </t>
  </si>
  <si>
    <t>https://www.nature.com/articles/s41597-024-04139-6#Sec2</t>
  </si>
  <si>
    <t>Nelson, A., Weiss, D.J., van Etten, J. et al. A suite of global accessibility indicators. Sci Data 6, 266 (2019). https://doi.org/10.1038/s41597-019-0265-5</t>
  </si>
  <si>
    <t xml:space="preserve">1 km </t>
  </si>
  <si>
    <t>Landsat-7, MODIS</t>
  </si>
  <si>
    <t>https://www.sciencedirect.com/science/article/pii/S0034425717301244#s0010</t>
  </si>
  <si>
    <t>embeddings</t>
  </si>
  <si>
    <t>AlphaEarth Foundations: An embedding field
model for accurate and efficient global
mapping from sparse label data</t>
  </si>
  <si>
    <t>Sentinel-1, Sentinel-2, Landsat-8, Landsat-9, Copernicus DEM</t>
  </si>
  <si>
    <t>GBIF</t>
  </si>
  <si>
    <t>https://deepmind.google/blog/alphaearth-foundations-helps-map-our-planet-in-unprecedented-detail/</t>
  </si>
  <si>
    <t>Brown, C. F., Kazmierski, M. R., Pasquarella, V. J., Rucklidge, W. J., Samsikova, M., Zhang, C., Shelhamer, E., Lahera, E., Wiles, O., Ilyushchenko, S., Gorelick, N., Zhang, L. L., Alj, S., Schechter, E., Askay, S., Guinan, O., Moore, R., Boukouvalas, A., &amp; Kohli, P. (2025). AlphaEarth Foundations: An embedding field model for accurate and efficient global mapping from sparse label data (arXiv:2507.22291). arXiv. https://doi.org/10.48550/arXiv.2507.22291</t>
  </si>
  <si>
    <t>Landsat-5, Landsat-7, SPOT-4, SPOT-5, ResourceSat-2, RapidEye, Sentinel-2, Landsat-8</t>
  </si>
  <si>
    <t>LandScan Global 30 Arcsecond Annual Global Gridded Population Datasets from 2000 to 2022</t>
  </si>
  <si>
    <t>LandScan</t>
  </si>
  <si>
    <t>https://www.nature.com/articles/s41597-025-04817-z#Sec2</t>
  </si>
  <si>
    <t>WorldPop Global Population Density</t>
  </si>
  <si>
    <t>WorldPop</t>
  </si>
  <si>
    <t>ENVISAT, Sentinel-1, Sentinel-2</t>
  </si>
  <si>
    <t>Global Land Cover 2000</t>
  </si>
  <si>
    <t>Global Land Cover Characterization</t>
  </si>
  <si>
    <t>USGS GLCC</t>
  </si>
  <si>
    <t>Corine Land Cover Plus Backbone</t>
  </si>
  <si>
    <t>CLCplus backbone</t>
  </si>
  <si>
    <t>NASA GDEM</t>
  </si>
  <si>
    <t>HJ-1A, HJ-1B, Landsat-5, CBERS</t>
  </si>
  <si>
    <t>http://www.geodata.cn/data/datadetails.html?dataguid=1471197&amp;docId=12230</t>
  </si>
  <si>
    <t>SERVIR</t>
  </si>
  <si>
    <t>Finer Resolution Observation and Monitoring of Global Land Cover</t>
  </si>
  <si>
    <t>FROM-GLC</t>
  </si>
  <si>
    <t>Landsat-4, Landsat-5, Landsat-7, MODIS</t>
  </si>
  <si>
    <t>https://www.dess.tsinghua.edu.cn/info/1120/1418.htm</t>
  </si>
  <si>
    <t>GlobCover</t>
  </si>
  <si>
    <t>300 m</t>
  </si>
  <si>
    <t>0.3</t>
  </si>
  <si>
    <t>AFRICOVER</t>
  </si>
  <si>
    <t>Landsat-5, Landsat-7, SPOT, ERS, IRS-1C, RADARSAT</t>
  </si>
  <si>
    <t>Copernicus Land Cover</t>
  </si>
  <si>
    <t>Copernicus LC</t>
  </si>
  <si>
    <t>PROBA-V</t>
  </si>
  <si>
    <t>Globeland30</t>
  </si>
  <si>
    <t>Landsat-4, Landsat-5, Landsat-7, HJ-1</t>
  </si>
  <si>
    <t>Australia Dynamic Land Cover Dataset</t>
  </si>
  <si>
    <t>Australia DLCD</t>
  </si>
  <si>
    <t>RCMRD Land Cover</t>
  </si>
  <si>
    <t>RCMRD LC</t>
  </si>
  <si>
    <t>South Africa Land Cover</t>
  </si>
  <si>
    <t>South Africa LC</t>
  </si>
  <si>
    <t>USGS National Land Cover Database</t>
  </si>
  <si>
    <t>USDA NASS CDL, USGS 3D Elevation, USDA NASIS</t>
  </si>
  <si>
    <t>Landsat-5, Landsat-7, Landsat-8</t>
  </si>
  <si>
    <t>Land Change Monitoring, Assessment, and Projection</t>
  </si>
  <si>
    <t>LCMAP</t>
  </si>
  <si>
    <t>5 m</t>
  </si>
  <si>
    <t>SPOT-6, SPOT-7, Pleiades, GeoEye, Worldview-2, Worldview-3, Deimos-2</t>
  </si>
  <si>
    <t>2 m, 10 m</t>
  </si>
  <si>
    <t>Corine HRL Imperviousness</t>
  </si>
  <si>
    <t>HRL Imperviousness</t>
  </si>
  <si>
    <t>Ramankutty Vegetation</t>
  </si>
  <si>
    <t>NOAA AVHRR, MODIS, NOAA-14</t>
  </si>
  <si>
    <t>10GB</t>
  </si>
  <si>
    <t>SOILGRIDS</t>
  </si>
  <si>
    <t>ISRIC, LUCAS</t>
  </si>
  <si>
    <t>statistics</t>
  </si>
  <si>
    <t>NASA Harvest</t>
  </si>
  <si>
    <t>https://www.nasaharvest.org/</t>
  </si>
  <si>
    <t>USDA Farm Service Agency Common Land Unit</t>
  </si>
  <si>
    <t>The National Commodity Crop Productivity Index (NCCPI)</t>
  </si>
  <si>
    <t>USDA NCCPI</t>
  </si>
  <si>
    <t>USDA NASIS</t>
  </si>
  <si>
    <t>National Soil Information System (NASIS)</t>
  </si>
  <si>
    <t>Identification system for agricultural parcels</t>
  </si>
  <si>
    <t>EU LPIS</t>
  </si>
  <si>
    <t>Joint Experiment for Crop Assessment and Monitoring</t>
  </si>
  <si>
    <t>JECAM</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</si>
</sst>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color theme="1"/>
      <name val="Arial"/>
      <scheme val="minor"/>
    </font>
    <font>
      <u/>
      <color rgb="FF0000FF"/>
    </font>
    <font>
      <u/>
      <color rgb="FF0000FF"/>
    </font>
    <font>
      <color theme="1"/>
      <name val="Arial"/>
    </font>
    <font>
      <u/>
      <color rgb="FF0000FF"/>
    </font>
    <font>
      <i/>
      <u/>
      <color rgb="FF0000FF"/>
    </font>
    <font>
      <b/>
      <u/>
      <color rgb="FF0000FF"/>
    </font>
    <font>
      <color rgb="FF222222"/>
      <name val="-apple-system"/>
    </font>
    <font>
      <u/>
      <color rgb="FF0000FF"/>
    </font>
  </fonts>
  <fills count="4">
    <fill>
      <patternFill patternType="none"/>
    </fill>
    <fill>
      <patternFill patternType="lightGray"/>
    </fill>
    <fill>
      <patternFill patternType="solid">
        <fgColor rgb="FF93C47D"/>
        <bgColor rgb="FF93C47D"/>
      </patternFill>
    </fill>
    <fill>
      <patternFill patternType="solid">
        <fgColor rgb="FFFFFFFF"/>
        <bgColor rgb="FFFFFFF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2" fontId="1" numFmtId="0" xfId="0" applyFill="1" applyFont="1"/>
    <xf borderId="0" fillId="2" fontId="1" numFmtId="0" xfId="0" applyAlignment="1" applyFill="1" applyFont="1">
      <alignment readingOrder="0"/>
    </xf>
    <xf borderId="0" fillId="0" fontId="1" numFmtId="0" xfId="0" applyFont="1"/>
    <xf borderId="0" fillId="0" fontId="2" numFmtId="0" xfId="0" applyFont="1"/>
    <xf borderId="0" fillId="0" fontId="1" numFmtId="49" xfId="0" applyFont="1" applyNumberForma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readingOrder="0"/>
    </xf>
    <xf borderId="0" fillId="0" fontId="1" numFmtId="49" xfId="0" applyAlignment="1" applyFont="1" applyNumberFormat="1">
      <alignment readingOrder="0"/>
    </xf>
    <xf borderId="0" fillId="0" fontId="6" numFmtId="0" xfId="0" applyAlignment="1" applyFont="1">
      <alignment readingOrder="0"/>
    </xf>
    <xf borderId="0" fillId="0" fontId="1" numFmtId="0" xfId="0" applyAlignment="1" applyFont="1">
      <alignment horizontal="left" readingOrder="0"/>
    </xf>
    <xf borderId="0" fillId="0" fontId="7" numFmtId="0" xfId="0" applyAlignment="1" applyFont="1">
      <alignment readingOrder="0"/>
    </xf>
    <xf borderId="0" fillId="0" fontId="1" numFmtId="49" xfId="0" applyFont="1" applyNumberFormat="1"/>
    <xf borderId="0" fillId="3" fontId="8" numFmtId="0" xfId="0" applyAlignment="1" applyFill="1" applyFont="1">
      <alignment readingOrder="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age.nelson.wisc.edu/data-and-models/datasets/historic-croplands-dataset-1700-1992/" TargetMode="External"/><Relationship Id="rId42" Type="http://schemas.openxmlformats.org/officeDocument/2006/relationships/hyperlink" Target="https://gaez.fao.org/pages/agromaps" TargetMode="External"/><Relationship Id="rId41" Type="http://schemas.openxmlformats.org/officeDocument/2006/relationships/hyperlink" Target="https://www.fao.org/land-water/land/land-governance/land-resources-planning-toolbox/category/details/en/c/1236449/" TargetMode="External"/><Relationship Id="rId44" Type="http://schemas.openxmlformats.org/officeDocument/2006/relationships/hyperlink" Target="https://essd.copernicus.org/articles/17/3473/2025/" TargetMode="External"/><Relationship Id="rId43" Type="http://schemas.openxmlformats.org/officeDocument/2006/relationships/hyperlink" Target="https://www.uni-frankfurt.de/45218023/MIRCA" TargetMode="External"/><Relationship Id="rId46" Type="http://schemas.openxmlformats.org/officeDocument/2006/relationships/hyperlink" Target="https://journals.plos.org/plosone/article?id=10.1371/journal.pone.0184479" TargetMode="External"/><Relationship Id="rId45" Type="http://schemas.openxmlformats.org/officeDocument/2006/relationships/hyperlink" Target="https://www.nature.com/articles/nature15743" TargetMode="External"/><Relationship Id="rId1" Type="http://schemas.openxmlformats.org/officeDocument/2006/relationships/hyperlink" Target="https://developers.google.com/earth-engine/datasets/catalog/ESA_WorldCereal_2021_MARKERS_v100" TargetMode="External"/><Relationship Id="rId2" Type="http://schemas.openxmlformats.org/officeDocument/2006/relationships/hyperlink" Target="https://developers.google.com/earth-engine/datasets/catalog/USDA_NASS_CDL" TargetMode="External"/><Relationship Id="rId3" Type="http://schemas.openxmlformats.org/officeDocument/2006/relationships/hyperlink" Target="https://landcarbonlab.org/data/global-cropland-change/" TargetMode="External"/><Relationship Id="rId4" Type="http://schemas.openxmlformats.org/officeDocument/2006/relationships/hyperlink" Target="https://developers.google.com/earth-engine/datasets/catalog/AAFC_ACI" TargetMode="External"/><Relationship Id="rId9" Type="http://schemas.openxmlformats.org/officeDocument/2006/relationships/hyperlink" Target="https://datadryad.org/dataset/doi:10.5061/dryad.2rbnzs7qh" TargetMode="External"/><Relationship Id="rId48" Type="http://schemas.openxmlformats.org/officeDocument/2006/relationships/hyperlink" Target="https://www.usgs.gov/centers/eesc/science/north-american-breeding-bird-survey" TargetMode="External"/><Relationship Id="rId47" Type="http://schemas.openxmlformats.org/officeDocument/2006/relationships/hyperlink" Target="https://biotime.st-andrews.ac.uk/" TargetMode="External"/><Relationship Id="rId49" Type="http://schemas.openxmlformats.org/officeDocument/2006/relationships/hyperlink" Target="https://land.copernicus.eu/en/products/high-resolution-layer-croplands/fallow-land-presence-2023-raster-10-m-europe-yearly" TargetMode="External"/><Relationship Id="rId5" Type="http://schemas.openxmlformats.org/officeDocument/2006/relationships/hyperlink" Target="https://developers.google.com/earth-engine/datasets/catalog/ESA_WorldCereal_2021_MODELS_v100" TargetMode="External"/><Relationship Id="rId6" Type="http://schemas.openxmlformats.org/officeDocument/2006/relationships/hyperlink" Target="https://developers.google.com/earth-engine/datasets/catalog/JRC_D5_EUCROPMAP_V1" TargetMode="External"/><Relationship Id="rId7" Type="http://schemas.openxmlformats.org/officeDocument/2006/relationships/hyperlink" Target="https://www.fao.org/faostat/en/" TargetMode="External"/><Relationship Id="rId8" Type="http://schemas.openxmlformats.org/officeDocument/2006/relationships/hyperlink" Target="https://gee-community-catalog.org/projects/npk/" TargetMode="External"/><Relationship Id="rId73" Type="http://schemas.openxmlformats.org/officeDocument/2006/relationships/hyperlink" Target="https://www.tandfonline.com/doi/full/10.1080/17474230701622940" TargetMode="External"/><Relationship Id="rId72" Type="http://schemas.openxmlformats.org/officeDocument/2006/relationships/hyperlink" Target="https://www.science.org/doi/10.1126/science.1244693" TargetMode="External"/><Relationship Id="rId31" Type="http://schemas.openxmlformats.org/officeDocument/2006/relationships/hyperlink" Target="https://landuse.sites.uu.nl/hyde-project/" TargetMode="External"/><Relationship Id="rId75" Type="http://schemas.openxmlformats.org/officeDocument/2006/relationships/drawing" Target="../drawings/drawing1.xml"/><Relationship Id="rId30" Type="http://schemas.openxmlformats.org/officeDocument/2006/relationships/hyperlink" Target="https://luh.umd.edu/index.shtml" TargetMode="External"/><Relationship Id="rId74" Type="http://schemas.openxmlformats.org/officeDocument/2006/relationships/hyperlink" Target="https://www.earthdata.nasa.gov/data/catalog/ornl-cloud-potential-veg-xdeg-961-1" TargetMode="External"/><Relationship Id="rId33" Type="http://schemas.openxmlformats.org/officeDocument/2006/relationships/hyperlink" Target="https://www.fao.org/faostat/en/" TargetMode="External"/><Relationship Id="rId32" Type="http://schemas.openxmlformats.org/officeDocument/2006/relationships/hyperlink" Target="https://dataverse.harvard.edu/dataset.xhtml?persistentId=doi:10.7910/DVN/6KKAWS" TargetMode="External"/><Relationship Id="rId35" Type="http://schemas.openxmlformats.org/officeDocument/2006/relationships/hyperlink" Target="https://data.tpdc.ac.cn/en/data/1e31ad1f-5904-4b49-8796-b379c37e7dba" TargetMode="External"/><Relationship Id="rId34" Type="http://schemas.openxmlformats.org/officeDocument/2006/relationships/hyperlink" Target="https://ec.europa.eu/eurostat/statistics-explained/index.php?title=Glossary:Grazing_livestock_density_index" TargetMode="External"/><Relationship Id="rId71" Type="http://schemas.openxmlformats.org/officeDocument/2006/relationships/hyperlink" Target="https://www.pnas.org/doi/10.1073/pnas.012249999" TargetMode="External"/><Relationship Id="rId70" Type="http://schemas.openxmlformats.org/officeDocument/2006/relationships/hyperlink" Target="https://www.science.org/doi/10.1126/sciadv.1600821" TargetMode="External"/><Relationship Id="rId37" Type="http://schemas.openxmlformats.org/officeDocument/2006/relationships/hyperlink" Target="https://figshare.com/articles/dataset/CROPGRIDS/22491997" TargetMode="External"/><Relationship Id="rId36" Type="http://schemas.openxmlformats.org/officeDocument/2006/relationships/hyperlink" Target="https://springernature.figshare.com/collections/Crop_production_and_nitrogen_use_in_European_cropland_and_grassland_1961-2019/5320772" TargetMode="External"/><Relationship Id="rId39" Type="http://schemas.openxmlformats.org/officeDocument/2006/relationships/hyperlink" Target="http://www.earthstat.org/harvested-area-yield-175-crops/" TargetMode="External"/><Relationship Id="rId38" Type="http://schemas.openxmlformats.org/officeDocument/2006/relationships/hyperlink" Target="https://zenodo.org/records/5260732" TargetMode="External"/><Relationship Id="rId62" Type="http://schemas.openxmlformats.org/officeDocument/2006/relationships/hyperlink" Target="https://www.earthdata.nasa.gov/data/catalog/lpcloud-mod17a3hgf-061" TargetMode="External"/><Relationship Id="rId61" Type="http://schemas.openxmlformats.org/officeDocument/2006/relationships/hyperlink" Target="https://www.earthdata.nasa.gov/data/catalog/sedac-ciesin-sedac-hanpp-1.0" TargetMode="External"/><Relationship Id="rId20" Type="http://schemas.openxmlformats.org/officeDocument/2006/relationships/hyperlink" Target="https://ec.europa.eu/eurostat/databrowser/explore/all/agric?sort=category&amp;lang=en&amp;subtheme=agr.aei.aei_pes&amp;display=list" TargetMode="External"/><Relationship Id="rId64" Type="http://schemas.openxmlformats.org/officeDocument/2006/relationships/hyperlink" Target="https://www.fao.org/soils-portal/data-hub/soil-maps-and-databases/harmonized-world-soil-database-v20/en/" TargetMode="External"/><Relationship Id="rId63" Type="http://schemas.openxmlformats.org/officeDocument/2006/relationships/hyperlink" Target="https://isric.org/explore/soilgrids" TargetMode="External"/><Relationship Id="rId22" Type="http://schemas.openxmlformats.org/officeDocument/2006/relationships/hyperlink" Target="https://dataverse.harvard.edu/dataset.xhtml?persistentId=doi:10.7910/DVN/P8MWOW" TargetMode="External"/><Relationship Id="rId66" Type="http://schemas.openxmlformats.org/officeDocument/2006/relationships/hyperlink" Target="https://www.fao.org/soils-portal/data-hub/soil-maps-and-databases/global-soil-organic-carbon-map-gsocmap/en/" TargetMode="External"/><Relationship Id="rId21" Type="http://schemas.openxmlformats.org/officeDocument/2006/relationships/hyperlink" Target="https://figshare.com/articles/dataset/PESTCHEMGRIDS_v2_01_beta_version_/25854769" TargetMode="External"/><Relationship Id="rId65" Type="http://schemas.openxmlformats.org/officeDocument/2006/relationships/hyperlink" Target="https://www.fao.org/soils-portal/data-hub/soil-maps-and-databases/global-map-of-salt-affected-soils/en/" TargetMode="External"/><Relationship Id="rId24" Type="http://schemas.openxmlformats.org/officeDocument/2006/relationships/hyperlink" Target="https://agri4cast.jrc.ec.europa.eu/dataportal" TargetMode="External"/><Relationship Id="rId68" Type="http://schemas.openxmlformats.org/officeDocument/2006/relationships/hyperlink" Target="https://dataverse.harvard.edu/dataset.xhtml?persistentId=doi:10.7910/DVN/USMCOR" TargetMode="External"/><Relationship Id="rId23" Type="http://schemas.openxmlformats.org/officeDocument/2006/relationships/hyperlink" Target="https://www.mapspam.info/data/" TargetMode="External"/><Relationship Id="rId67" Type="http://schemas.openxmlformats.org/officeDocument/2006/relationships/hyperlink" Target="https://esdac.jrc.ec.europa.eu/content/lucas-2009-topsoil-data" TargetMode="External"/><Relationship Id="rId60" Type="http://schemas.openxmlformats.org/officeDocument/2006/relationships/hyperlink" Target="http://data.europa.eu/89h/8bd2b792-cc33-4c11-afd1-b8dd60b44f3b" TargetMode="External"/><Relationship Id="rId26" Type="http://schemas.openxmlformats.org/officeDocument/2006/relationships/hyperlink" Target="https://land.copernicus.eu/en/products/high-resolution-layer-grasslands?tab=grassland_mowing_events" TargetMode="External"/><Relationship Id="rId25" Type="http://schemas.openxmlformats.org/officeDocument/2006/relationships/hyperlink" Target="https://land.copernicus.eu/en/products/high-resolution-layer-grasslands?tab=overview" TargetMode="External"/><Relationship Id="rId69" Type="http://schemas.openxmlformats.org/officeDocument/2006/relationships/hyperlink" Target="https://www.nature.com/articles/s41893-020-00631-0" TargetMode="External"/><Relationship Id="rId28" Type="http://schemas.openxmlformats.org/officeDocument/2006/relationships/hyperlink" Target="https://ceos.org/gst/HILDAplus.html" TargetMode="External"/><Relationship Id="rId27" Type="http://schemas.openxmlformats.org/officeDocument/2006/relationships/hyperlink" Target="https://land.copernicus.eu/en/products/high-resolution-layer-grasslands/grassland-change-2015-2018" TargetMode="External"/><Relationship Id="rId29" Type="http://schemas.openxmlformats.org/officeDocument/2006/relationships/hyperlink" Target="https://glad.umd.edu/dataset/long-term-global-land-change" TargetMode="External"/><Relationship Id="rId51" Type="http://schemas.openxmlformats.org/officeDocument/2006/relationships/hyperlink" Target="https://zenodo.org/records/15366671" TargetMode="External"/><Relationship Id="rId50" Type="http://schemas.openxmlformats.org/officeDocument/2006/relationships/hyperlink" Target="https://doi.org/10.2909/fa304e7c-771c-4ffb-b0f4-7e302a0d5081" TargetMode="External"/><Relationship Id="rId53" Type="http://schemas.openxmlformats.org/officeDocument/2006/relationships/hyperlink" Target="https://www.earthdata.nasa.gov/data/catalog/sedac-ciesin-sedac-lwp2-hii-geog-2.0" TargetMode="External"/><Relationship Id="rId52" Type="http://schemas.openxmlformats.org/officeDocument/2006/relationships/hyperlink" Target="https://djlorenz.github.io/astronomy/lp/" TargetMode="External"/><Relationship Id="rId11" Type="http://schemas.openxmlformats.org/officeDocument/2006/relationships/hyperlink" Target="https://ec.europa.eu/eurostat/databrowser/explore/all/agric?sort=category&amp;lang=en&amp;subtheme=agr.aei.aei_pes&amp;display=list" TargetMode="External"/><Relationship Id="rId55" Type="http://schemas.openxmlformats.org/officeDocument/2006/relationships/hyperlink" Target="https://human-settlement.emergency.copernicus.eu/ghs_smod2023.php" TargetMode="External"/><Relationship Id="rId10" Type="http://schemas.openxmlformats.org/officeDocument/2006/relationships/hyperlink" Target="https://www.fao.org/faostat/en/" TargetMode="External"/><Relationship Id="rId54" Type="http://schemas.openxmlformats.org/officeDocument/2006/relationships/hyperlink" Target="https://www.nature.com/articles/s41597-025-05246-8" TargetMode="External"/><Relationship Id="rId13" Type="http://schemas.openxmlformats.org/officeDocument/2006/relationships/hyperlink" Target="https://gee-community-catalog.org/projects/gci30/" TargetMode="External"/><Relationship Id="rId57" Type="http://schemas.openxmlformats.org/officeDocument/2006/relationships/hyperlink" Target="https://land.copernicus.eu/en/products/corine-land-cover" TargetMode="External"/><Relationship Id="rId12" Type="http://schemas.openxmlformats.org/officeDocument/2006/relationships/hyperlink" Target="https://agri4cast.jrc.ec.europa.eu/dataportal" TargetMode="External"/><Relationship Id="rId56" Type="http://schemas.openxmlformats.org/officeDocument/2006/relationships/hyperlink" Target="https://human-settlement.emergency.copernicus.eu/ghs_pop2023.php" TargetMode="External"/><Relationship Id="rId15" Type="http://schemas.openxmlformats.org/officeDocument/2006/relationships/hyperlink" Target="https://ourworldindata.org/grapher/machinery-per-agricultural-land" TargetMode="External"/><Relationship Id="rId59" Type="http://schemas.openxmlformats.org/officeDocument/2006/relationships/hyperlink" Target="https://human-settlement.emergency.copernicus.eu/esm_R2019.php" TargetMode="External"/><Relationship Id="rId14" Type="http://schemas.openxmlformats.org/officeDocument/2006/relationships/hyperlink" Target="https://data-explorer.oecd.org/vis?lc=en&amp;df%5Bds%5D=dsDisseminateFinalDMZ&amp;df%5Bid%5D=DSD_AGRI_ENV%40DF_AEI&amp;df%5Bag%5D=OECD.TAD.ARP&amp;dq=.A.TOTAGR_LAND....&amp;pd=2012%2C&amp;to%5BTIME_PERIOD%5D=false" TargetMode="External"/><Relationship Id="rId58" Type="http://schemas.openxmlformats.org/officeDocument/2006/relationships/hyperlink" Target="https://gee-community-catalog.org/projects/giulu/" TargetMode="External"/><Relationship Id="rId17" Type="http://schemas.openxmlformats.org/officeDocument/2006/relationships/hyperlink" Target="https://www.fao.org/faostat/en/" TargetMode="External"/><Relationship Id="rId16" Type="http://schemas.openxmlformats.org/officeDocument/2006/relationships/hyperlink" Target="https://ourworldindata.org/grapher/average-farm-size?country=&amp;globe=1&amp;globeRotation=9.47%2C-301.66" TargetMode="External"/><Relationship Id="rId19" Type="http://schemas.openxmlformats.org/officeDocument/2006/relationships/hyperlink" Target="https://ec.europa.eu/eurostat/databrowser/explore/all/agric?sort=category&amp;lang=en&amp;subtheme=agr.aei.aei_pes&amp;display=list" TargetMode="External"/><Relationship Id="rId18" Type="http://schemas.openxmlformats.org/officeDocument/2006/relationships/hyperlink" Target="https://water.usgs.gov/nawqa/pnsp/usage/maps/"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dataverse.harvard.edu/dataset.xhtml?persistentId=doi:10.7910/DVN/P8MWOW" TargetMode="External"/><Relationship Id="rId42" Type="http://schemas.openxmlformats.org/officeDocument/2006/relationships/hyperlink" Target="https://sdi.eea.europa.eu/catalogue/srv/eng/catalog.search" TargetMode="External"/><Relationship Id="rId41" Type="http://schemas.openxmlformats.org/officeDocument/2006/relationships/hyperlink" Target="https://springernature.figshare.com/collections/Crop_production_and_nitrogen_use_in_European_cropland_and_grassland_1961-2019/5320772" TargetMode="External"/><Relationship Id="rId44" Type="http://schemas.openxmlformats.org/officeDocument/2006/relationships/hyperlink" Target="https://land.copernicus.eu/en/products/high-resolution-layer-grasslands?tab=overview" TargetMode="External"/><Relationship Id="rId43" Type="http://schemas.openxmlformats.org/officeDocument/2006/relationships/hyperlink" Target="https://ctic.org/optis/grasslands/vegetation-types/" TargetMode="External"/><Relationship Id="rId46" Type="http://schemas.openxmlformats.org/officeDocument/2006/relationships/hyperlink" Target="https://zenodo.org/records/15646181" TargetMode="External"/><Relationship Id="rId45" Type="http://schemas.openxmlformats.org/officeDocument/2006/relationships/hyperlink" Target="https://data.fs.usda.gov/geodata/rastergateway/rangelands/index.php" TargetMode="External"/><Relationship Id="rId107" Type="http://schemas.openxmlformats.org/officeDocument/2006/relationships/hyperlink" Target="https://www.nasaharvest.org/" TargetMode="External"/><Relationship Id="rId106" Type="http://schemas.openxmlformats.org/officeDocument/2006/relationships/hyperlink" Target="https://esdac.jrc.ec.europa.eu/content/lucas-2009-topsoil-data" TargetMode="External"/><Relationship Id="rId105" Type="http://schemas.openxmlformats.org/officeDocument/2006/relationships/hyperlink" Target="https://www.fao.org/soils-portal/data-hub/soil-maps-and-databases/harmonized-world-soil-database-v20/en/" TargetMode="External"/><Relationship Id="rId104" Type="http://schemas.openxmlformats.org/officeDocument/2006/relationships/hyperlink" Target="https://isric.org/explore/soilgrids" TargetMode="External"/><Relationship Id="rId108" Type="http://schemas.openxmlformats.org/officeDocument/2006/relationships/drawing" Target="../drawings/drawing2.xml"/><Relationship Id="rId48" Type="http://schemas.openxmlformats.org/officeDocument/2006/relationships/hyperlink" Target="https://gee-community-catalog.org/projects/gci30/" TargetMode="External"/><Relationship Id="rId47" Type="http://schemas.openxmlformats.org/officeDocument/2006/relationships/hyperlink" Target="https://agri4cast.jrc.ec.europa.eu/dataportal" TargetMode="External"/><Relationship Id="rId49" Type="http://schemas.openxmlformats.org/officeDocument/2006/relationships/hyperlink" Target="https://pure.iiasa.ac.at/id/eprint/15526/" TargetMode="External"/><Relationship Id="rId103" Type="http://schemas.openxmlformats.org/officeDocument/2006/relationships/hyperlink" Target="https://www.fao.org/soils-portal/data-hub/soil-maps-and-databases/global-map-of-salt-affected-soils/en/" TargetMode="External"/><Relationship Id="rId102" Type="http://schemas.openxmlformats.org/officeDocument/2006/relationships/hyperlink" Target="https://www.fao.org/soils-portal/data-hub/soil-maps-and-databases/global-soil-organic-carbon-map-gsocmap/en/" TargetMode="External"/><Relationship Id="rId101" Type="http://schemas.openxmlformats.org/officeDocument/2006/relationships/hyperlink" Target="https://www.pnas.org/doi/10.1073/pnas.012249999" TargetMode="External"/><Relationship Id="rId100" Type="http://schemas.openxmlformats.org/officeDocument/2006/relationships/hyperlink" Target="https://www.earthdata.nasa.gov/data/catalog/lpcloud-mod17a3hgf-061" TargetMode="External"/><Relationship Id="rId31" Type="http://schemas.openxmlformats.org/officeDocument/2006/relationships/hyperlink" Target="https://journals.plos.org/plosone/article?id=10.1371/journal.pone.0184479" TargetMode="External"/><Relationship Id="rId30" Type="http://schemas.openxmlformats.org/officeDocument/2006/relationships/hyperlink" Target="https://sage.nelson.wisc.edu/data-and-models/datasets/historic-croplands-dataset-1700-1992/" TargetMode="External"/><Relationship Id="rId33" Type="http://schemas.openxmlformats.org/officeDocument/2006/relationships/hyperlink" Target="https://figshare.com/articles/dataset/NPKGRIDS/24616050/4" TargetMode="External"/><Relationship Id="rId32" Type="http://schemas.openxmlformats.org/officeDocument/2006/relationships/hyperlink" Target="https://zenodo.org/records/17828801" TargetMode="External"/><Relationship Id="rId35" Type="http://schemas.openxmlformats.org/officeDocument/2006/relationships/hyperlink" Target="https://data.tpdc.ac.cn/en/data/1e31ad1f-5904-4b49-8796-b379c37e7dba" TargetMode="External"/><Relationship Id="rId34" Type="http://schemas.openxmlformats.org/officeDocument/2006/relationships/hyperlink" Target="https://datadryad.org/dataset/doi:10.5061/dryad.2rbnzs7qh" TargetMode="External"/><Relationship Id="rId37" Type="http://schemas.openxmlformats.org/officeDocument/2006/relationships/hyperlink" Target="https://www.nature.com/articles/nature15743" TargetMode="External"/><Relationship Id="rId36" Type="http://schemas.openxmlformats.org/officeDocument/2006/relationships/hyperlink" Target="https://zenodo.org/records/5260732" TargetMode="External"/><Relationship Id="rId39" Type="http://schemas.openxmlformats.org/officeDocument/2006/relationships/hyperlink" Target="https://www.fao.org/faostat/en/" TargetMode="External"/><Relationship Id="rId38" Type="http://schemas.openxmlformats.org/officeDocument/2006/relationships/hyperlink" Target="https://www.fao.org/faostat/en/" TargetMode="External"/><Relationship Id="rId20" Type="http://schemas.openxmlformats.org/officeDocument/2006/relationships/hyperlink" Target="https://zenodo.org/records/7875105" TargetMode="External"/><Relationship Id="rId22" Type="http://schemas.openxmlformats.org/officeDocument/2006/relationships/hyperlink" Target="http://www.earthstat.org/harvested-area-yield-175-crops/" TargetMode="External"/><Relationship Id="rId21" Type="http://schemas.openxmlformats.org/officeDocument/2006/relationships/hyperlink" Target="https://figshare.com/articles/dataset/CROPGRIDS/22491997" TargetMode="External"/><Relationship Id="rId24" Type="http://schemas.openxmlformats.org/officeDocument/2006/relationships/hyperlink" Target="https://gaez.fao.org/pages/agromaps" TargetMode="External"/><Relationship Id="rId23" Type="http://schemas.openxmlformats.org/officeDocument/2006/relationships/hyperlink" Target="https://www.nature.com/articles/s41597-023-02517-0" TargetMode="External"/><Relationship Id="rId26" Type="http://schemas.openxmlformats.org/officeDocument/2006/relationships/hyperlink" Target="https://dataverse.harvard.edu/dataset.xhtml?persistentId=doi:10.7910/DVN/ZWSFAA" TargetMode="External"/><Relationship Id="rId25" Type="http://schemas.openxmlformats.org/officeDocument/2006/relationships/hyperlink" Target="https://zenodo.org/records/13984185" TargetMode="External"/><Relationship Id="rId28" Type="http://schemas.openxmlformats.org/officeDocument/2006/relationships/hyperlink" Target="https://land.copernicus.eu/en/products/high-resolution-layer-croplands/fallow-land-presence-2023-raster-10-m-europe-yearly" TargetMode="External"/><Relationship Id="rId27" Type="http://schemas.openxmlformats.org/officeDocument/2006/relationships/hyperlink" Target="https://deafrica.africageoportal.com/datasets/bc6a9440f3cb41d6904b2c8831745903/about" TargetMode="External"/><Relationship Id="rId29" Type="http://schemas.openxmlformats.org/officeDocument/2006/relationships/hyperlink" Target="https://landcarbonlab.org/data/global-cropland-change/" TargetMode="External"/><Relationship Id="rId95" Type="http://schemas.openxmlformats.org/officeDocument/2006/relationships/hyperlink" Target="https://gee-community-catalog.org/projects/giulu/" TargetMode="External"/><Relationship Id="rId94" Type="http://schemas.openxmlformats.org/officeDocument/2006/relationships/hyperlink" Target="https://human-settlement.emergency.copernicus.eu/ghs_smod2023.php" TargetMode="External"/><Relationship Id="rId97" Type="http://schemas.openxmlformats.org/officeDocument/2006/relationships/hyperlink" Target="http://data.europa.eu/89h/8bd2b792-cc33-4c11-afd1-b8dd60b44f3b" TargetMode="External"/><Relationship Id="rId96" Type="http://schemas.openxmlformats.org/officeDocument/2006/relationships/hyperlink" Target="https://human-settlement.emergency.copernicus.eu/esm_R2019.php" TargetMode="External"/><Relationship Id="rId11" Type="http://schemas.openxmlformats.org/officeDocument/2006/relationships/hyperlink" Target="https://landuse.sites.uu.nl/hyde-project/" TargetMode="External"/><Relationship Id="rId99" Type="http://schemas.openxmlformats.org/officeDocument/2006/relationships/hyperlink" Target="https://www.earthdata.nasa.gov/data/catalog/sedac-ciesin-sedac-hanpp-1.0" TargetMode="External"/><Relationship Id="rId10" Type="http://schemas.openxmlformats.org/officeDocument/2006/relationships/hyperlink" Target="https://luh.umd.edu/index.shtml" TargetMode="External"/><Relationship Id="rId98" Type="http://schemas.openxmlformats.org/officeDocument/2006/relationships/hyperlink" Target="https://www.earthdata.nasa.gov/data/catalog/ornl-cloud-potential-veg-xdeg-961-1" TargetMode="External"/><Relationship Id="rId13" Type="http://schemas.openxmlformats.org/officeDocument/2006/relationships/hyperlink" Target="https://brasil.mapbiomas.org/en/iniciativas-mapbiomas/" TargetMode="External"/><Relationship Id="rId12" Type="http://schemas.openxmlformats.org/officeDocument/2006/relationships/hyperlink" Target="https://dataverse.harvard.edu/dataset.xhtml?persistentId=doi:10.7910/DVN/6KKAWS" TargetMode="External"/><Relationship Id="rId91" Type="http://schemas.openxmlformats.org/officeDocument/2006/relationships/hyperlink" Target="https://www.nature.com/articles/s41597-025-04817-z" TargetMode="External"/><Relationship Id="rId90" Type="http://schemas.openxmlformats.org/officeDocument/2006/relationships/hyperlink" Target="https://dataverse.harvard.edu/dataset.xhtml?persistentId=doi:10.7910/DVN/USMCOR" TargetMode="External"/><Relationship Id="rId93" Type="http://schemas.openxmlformats.org/officeDocument/2006/relationships/hyperlink" Target="http://www.geodata.cn/data/datadetails.html?dataguid=1471197&amp;docId=12230" TargetMode="External"/><Relationship Id="rId92" Type="http://schemas.openxmlformats.org/officeDocument/2006/relationships/hyperlink" Target="https://sdi.eea.europa.eu/catalogue/srv/eng/catalog.search" TargetMode="External"/><Relationship Id="rId15" Type="http://schemas.openxmlformats.org/officeDocument/2006/relationships/hyperlink" Target="https://www.earthdata.nasa.gov/data/catalog/ornl-cloud-decadal-lulc-india-1336-1" TargetMode="External"/><Relationship Id="rId14" Type="http://schemas.openxmlformats.org/officeDocument/2006/relationships/hyperlink" Target="https://www.ga.gov.au/scientific-topics/dea/dea-data-and-products/dea-land-cover" TargetMode="External"/><Relationship Id="rId17" Type="http://schemas.openxmlformats.org/officeDocument/2006/relationships/hyperlink" Target="https://www.earthdata.nasa.gov/news/feature-articles/measuring-worlds-croplands" TargetMode="External"/><Relationship Id="rId16" Type="http://schemas.openxmlformats.org/officeDocument/2006/relationships/hyperlink" Target="https://www.nature.com/articles/s41597-022-01307-4" TargetMode="External"/><Relationship Id="rId19" Type="http://schemas.openxmlformats.org/officeDocument/2006/relationships/hyperlink" Target="https://agri4cast.jrc.ec.europa.eu/dataportal" TargetMode="External"/><Relationship Id="rId18" Type="http://schemas.openxmlformats.org/officeDocument/2006/relationships/hyperlink" Target="https://developers.google.com/earth-engine/datasets/catalog/USDA_NASS_CDL" TargetMode="External"/><Relationship Id="rId84" Type="http://schemas.openxmlformats.org/officeDocument/2006/relationships/hyperlink" Target="https://www.nature.com/articles/s41893-020-00631-0" TargetMode="External"/><Relationship Id="rId83" Type="http://schemas.openxmlformats.org/officeDocument/2006/relationships/hyperlink" Target="https://www.nature.com/articles/s41597-025-05246-8" TargetMode="External"/><Relationship Id="rId86" Type="http://schemas.openxmlformats.org/officeDocument/2006/relationships/hyperlink" Target="https://www.sciencedirect.com/science/article/pii/S0034425717301244" TargetMode="External"/><Relationship Id="rId85" Type="http://schemas.openxmlformats.org/officeDocument/2006/relationships/hyperlink" Target="https://www.nature.com/articles/s41597-024-04139-6" TargetMode="External"/><Relationship Id="rId88" Type="http://schemas.openxmlformats.org/officeDocument/2006/relationships/hyperlink" Target="https://land.copernicus.eu/en/products/corine-land-cover" TargetMode="External"/><Relationship Id="rId87" Type="http://schemas.openxmlformats.org/officeDocument/2006/relationships/hyperlink" Target="https://deepmind.google/blog/alphaearth-foundations-helps-map-our-planet-in-unprecedented-detail/" TargetMode="External"/><Relationship Id="rId89" Type="http://schemas.openxmlformats.org/officeDocument/2006/relationships/hyperlink" Target="https://human-settlement.emergency.copernicus.eu/ghs_pop2023.php" TargetMode="External"/><Relationship Id="rId80" Type="http://schemas.openxmlformats.org/officeDocument/2006/relationships/hyperlink" Target="https://www.science.org/doi/10.1126/science.1244693" TargetMode="External"/><Relationship Id="rId82" Type="http://schemas.openxmlformats.org/officeDocument/2006/relationships/hyperlink" Target="https://www.earthdata.nasa.gov/data/catalog/sedac-ciesin-sedac-lwp2-hii-geog-2.0" TargetMode="External"/><Relationship Id="rId81" Type="http://schemas.openxmlformats.org/officeDocument/2006/relationships/hyperlink" Target="https://www.science.org/doi/10.1126/sciadv.1600821" TargetMode="External"/><Relationship Id="rId1" Type="http://schemas.openxmlformats.org/officeDocument/2006/relationships/hyperlink" Target="https://developers.google.com/earth-engine/datasets/catalog/AAFC_ACI" TargetMode="External"/><Relationship Id="rId2" Type="http://schemas.openxmlformats.org/officeDocument/2006/relationships/hyperlink" Target="https://data.jrc.ec.europa.eu/dataset/15f86c84-eae1-4723-8e00-c1b35c8f56b9" TargetMode="External"/><Relationship Id="rId3" Type="http://schemas.openxmlformats.org/officeDocument/2006/relationships/hyperlink" Target="https://www.tandfonline.com/doi/full/10.1080/17474230701622940" TargetMode="External"/><Relationship Id="rId4" Type="http://schemas.openxmlformats.org/officeDocument/2006/relationships/hyperlink" Target="https://essd.copernicus.org/articles/17/3473/2025/" TargetMode="External"/><Relationship Id="rId9" Type="http://schemas.openxmlformats.org/officeDocument/2006/relationships/hyperlink" Target="https://doi.org/10.5281/zenodo.18180184" TargetMode="External"/><Relationship Id="rId5" Type="http://schemas.openxmlformats.org/officeDocument/2006/relationships/hyperlink" Target="https://www.agriculture.gov.au/abares/aclump/land-use/catchment-scale-land-use-report" TargetMode="External"/><Relationship Id="rId6" Type="http://schemas.openxmlformats.org/officeDocument/2006/relationships/hyperlink" Target="https://www.prepdata.org/dataset/PREP_0500" TargetMode="External"/><Relationship Id="rId7" Type="http://schemas.openxmlformats.org/officeDocument/2006/relationships/hyperlink" Target="https://ceos.org/gst/HILDAplus.html" TargetMode="External"/><Relationship Id="rId8" Type="http://schemas.openxmlformats.org/officeDocument/2006/relationships/hyperlink" Target="https://zenodo.org/records/18180184" TargetMode="External"/><Relationship Id="rId73" Type="http://schemas.openxmlformats.org/officeDocument/2006/relationships/hyperlink" Target="https://figshare.com/articles/dataset/Pesticides_application_rate_maps_in_the_European_Union_at_high_spatial_resolution/27743286" TargetMode="External"/><Relationship Id="rId72" Type="http://schemas.openxmlformats.org/officeDocument/2006/relationships/hyperlink" Target="https://zenodo.org/records/17128483" TargetMode="External"/><Relationship Id="rId75" Type="http://schemas.openxmlformats.org/officeDocument/2006/relationships/hyperlink" Target="https://water.usgs.gov/nawqa/pnsp/usage/maps/" TargetMode="External"/><Relationship Id="rId74" Type="http://schemas.openxmlformats.org/officeDocument/2006/relationships/hyperlink" Target="https://www.fao.org/faostat/en/" TargetMode="External"/><Relationship Id="rId77" Type="http://schemas.openxmlformats.org/officeDocument/2006/relationships/hyperlink" Target="https://figshare.com/articles/dataset/PESTCHEMGRIDS_v2_01_beta_version_/25854769" TargetMode="External"/><Relationship Id="rId76" Type="http://schemas.openxmlformats.org/officeDocument/2006/relationships/hyperlink" Target="https://ec.europa.eu/eurostat/databrowser/explore/all/agric?sort=category&amp;lang=en&amp;subtheme=agr.aei.aei_pes&amp;display=list" TargetMode="External"/><Relationship Id="rId79" Type="http://schemas.openxmlformats.org/officeDocument/2006/relationships/hyperlink" Target="https://zenodo.org/records/15366671" TargetMode="External"/><Relationship Id="rId78" Type="http://schemas.openxmlformats.org/officeDocument/2006/relationships/hyperlink" Target="https://glad.umd.edu/dataset/long-term-global-land-change" TargetMode="External"/><Relationship Id="rId71" Type="http://schemas.openxmlformats.org/officeDocument/2006/relationships/hyperlink" Target="https://doi.org/10.5281/zenodo.11058509" TargetMode="External"/><Relationship Id="rId70" Type="http://schemas.openxmlformats.org/officeDocument/2006/relationships/hyperlink" Target="https://www.nature.com/articles/sdata2018227" TargetMode="External"/><Relationship Id="rId62" Type="http://schemas.openxmlformats.org/officeDocument/2006/relationships/hyperlink" Target="https://www.uni-frankfurt.de/45218023/MIRCA" TargetMode="External"/><Relationship Id="rId61" Type="http://schemas.openxmlformats.org/officeDocument/2006/relationships/hyperlink" Target="https://www.mapspam.info/data/" TargetMode="External"/><Relationship Id="rId64" Type="http://schemas.openxmlformats.org/officeDocument/2006/relationships/hyperlink" Target="https://www.fao.org/aquastat/en/geospatial-information/global-maps-irrigated-areas/latest-version/" TargetMode="External"/><Relationship Id="rId63" Type="http://schemas.openxmlformats.org/officeDocument/2006/relationships/hyperlink" Target="https://ec.europa.eu/eurostat/web/experimental-statistics/geospatial-data-agricultural-census" TargetMode="External"/><Relationship Id="rId66" Type="http://schemas.openxmlformats.org/officeDocument/2006/relationships/hyperlink" Target="https://sdi.eea.europa.eu/catalogue/srv/eng/catalog.search" TargetMode="External"/><Relationship Id="rId65" Type="http://schemas.openxmlformats.org/officeDocument/2006/relationships/hyperlink" Target="https://land.copernicus.eu/en/products/high-resolution-layer-grasslands/ploughing-indicator-2023-raster-10-m-europe-yearly" TargetMode="External"/><Relationship Id="rId68" Type="http://schemas.openxmlformats.org/officeDocument/2006/relationships/hyperlink" Target="https://www.fao.org/faostat/en/" TargetMode="External"/><Relationship Id="rId67" Type="http://schemas.openxmlformats.org/officeDocument/2006/relationships/hyperlink" Target="https://www.usgs.gov/special-topics/monitoring-vegetation-drought-stress/science/moderate-resolution-imaging" TargetMode="External"/><Relationship Id="rId60" Type="http://schemas.openxmlformats.org/officeDocument/2006/relationships/hyperlink" Target="https://ourworldindata.org/grapher/average-farm-size?country=&amp;globe=1&amp;globeRotation=9.47%2C-301.66" TargetMode="External"/><Relationship Id="rId69" Type="http://schemas.openxmlformats.org/officeDocument/2006/relationships/hyperlink" Target="https://ec.europa.eu/eurostat/statistics-explained/index.php?title=Glossary:Grazing_livestock_density_index" TargetMode="External"/><Relationship Id="rId51" Type="http://schemas.openxmlformats.org/officeDocument/2006/relationships/hyperlink" Target="https://www.nature.com/articles/s41597-021-01065-9" TargetMode="External"/><Relationship Id="rId50" Type="http://schemas.openxmlformats.org/officeDocument/2006/relationships/hyperlink" Target="https://www.nature.com/articles/s41597-024-03456-0?fromPaywallRec=false" TargetMode="External"/><Relationship Id="rId53" Type="http://schemas.openxmlformats.org/officeDocument/2006/relationships/hyperlink" Target="https://www.dropbox.com/scl/fi/9hr10mzm3tvs4ql4rqd1f/ReleaseData.7z?dl=0%0A7-zip+compressed+file+size+249MB+(uncompressed+42GB)%0A&amp;e=1&amp;rlkey=69c2ivhqmzi8k1mdd1bl62xz9" TargetMode="External"/><Relationship Id="rId52" Type="http://schemas.openxmlformats.org/officeDocument/2006/relationships/hyperlink" Target="https://lcluc.umd.edu/metadata/conterminous-united-states-conus-field-extraction" TargetMode="External"/><Relationship Id="rId55" Type="http://schemas.openxmlformats.org/officeDocument/2006/relationships/hyperlink" Target="https://datadryad.org/share/0OQ59-ZZKmzDgcWs-qySOeckvainNTyILzyeuZIZH6w" TargetMode="External"/><Relationship Id="rId54" Type="http://schemas.openxmlformats.org/officeDocument/2006/relationships/hyperlink" Target="https://www.microsoft.com/en-us/research/wp-content/uploads/2026/04/FTW_Global_Map_v1.1.pdf" TargetMode="External"/><Relationship Id="rId57" Type="http://schemas.openxmlformats.org/officeDocument/2006/relationships/hyperlink" Target="https://ec.europa.eu/eurostat/databrowser/view/aei_ps_inp/default/table?lang=en&amp;category=agr.aei.aei_char" TargetMode="External"/><Relationship Id="rId56" Type="http://schemas.openxmlformats.org/officeDocument/2006/relationships/hyperlink" Target="https://onlinelibrary.wiley.com/doi/10.1111/gcb.12838" TargetMode="External"/><Relationship Id="rId59" Type="http://schemas.openxmlformats.org/officeDocument/2006/relationships/hyperlink" Target="https://ourworldindata.org/grapher/machinery-per-agricultural-land" TargetMode="External"/><Relationship Id="rId58" Type="http://schemas.openxmlformats.org/officeDocument/2006/relationships/hyperlink" Target="https://data-explorer.oecd.org/vis?lc=en&amp;df%5Bds%5D=dsDisseminateFinalDMZ&amp;df%5Bid%5D=DSD_AGRI_ENV%40DF_AEI&amp;df%5Bag%5D=OECD.TAD.ARP&amp;dq=.A.TOTAGR_LAND....&amp;pd=2012%2C&amp;to%5BTIME_PERIOD%5D=false"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8"/>
    <col customWidth="1" min="2" max="4" width="13.13"/>
    <col customWidth="1" min="5" max="5" width="55.88"/>
    <col customWidth="1" min="6" max="6" width="20.88"/>
    <col customWidth="1" min="7" max="7" width="51.25"/>
    <col customWidth="1" min="8" max="8" width="18.75"/>
    <col customWidth="1" min="10" max="10" width="17.5"/>
    <col customWidth="1" min="11" max="11" width="8.88"/>
    <col customWidth="1" min="12" max="12" width="13.5"/>
    <col customWidth="1" min="13" max="13" width="21.13"/>
    <col customWidth="1" min="14" max="14" width="17.63"/>
    <col customWidth="1" min="15" max="15" width="15.5"/>
    <col customWidth="1" min="19" max="19" width="17.63"/>
  </cols>
  <sheetData>
    <row r="1">
      <c r="A1" s="2" t="s">
        <v>1</v>
      </c>
      <c r="B1" s="2" t="s">
        <v>5</v>
      </c>
      <c r="C1" s="2" t="s">
        <v>6</v>
      </c>
      <c r="D1" s="2" t="s">
        <v>8</v>
      </c>
      <c r="E1" s="2" t="s">
        <v>10</v>
      </c>
      <c r="F1" s="2" t="s">
        <v>13</v>
      </c>
      <c r="G1" s="1" t="s">
        <v>16</v>
      </c>
      <c r="H1" s="2" t="s">
        <v>18</v>
      </c>
      <c r="I1" s="2" t="s">
        <v>19</v>
      </c>
      <c r="J1" s="2" t="s">
        <v>20</v>
      </c>
      <c r="K1" s="2" t="s">
        <v>21</v>
      </c>
      <c r="L1" s="2" t="s">
        <v>22</v>
      </c>
      <c r="M1" s="2" t="s">
        <v>23</v>
      </c>
      <c r="N1" s="2" t="s">
        <v>24</v>
      </c>
      <c r="O1" s="2" t="s">
        <v>25</v>
      </c>
      <c r="P1" s="2" t="s">
        <v>26</v>
      </c>
      <c r="Q1" s="2" t="s">
        <v>27</v>
      </c>
      <c r="R1" s="2" t="s">
        <v>29</v>
      </c>
      <c r="S1" s="2" t="s">
        <v>30</v>
      </c>
      <c r="T1" s="2" t="s">
        <v>31</v>
      </c>
      <c r="U1" s="2" t="s">
        <v>33</v>
      </c>
      <c r="V1" s="2" t="s">
        <v>34</v>
      </c>
      <c r="W1" s="2" t="s">
        <v>35</v>
      </c>
      <c r="X1" s="2" t="s">
        <v>36</v>
      </c>
      <c r="Y1" s="2" t="s">
        <v>37</v>
      </c>
    </row>
    <row r="2" ht="14.25" customHeight="1">
      <c r="B2" s="2" t="s">
        <v>38</v>
      </c>
      <c r="C2" s="2" t="s">
        <v>39</v>
      </c>
      <c r="D2" s="1" t="s">
        <v>40</v>
      </c>
      <c r="E2" s="1" t="s">
        <v>41</v>
      </c>
      <c r="F2" s="2" t="s">
        <v>43</v>
      </c>
      <c r="G2" s="1" t="s">
        <v>44</v>
      </c>
      <c r="H2" s="1">
        <v>95.0</v>
      </c>
      <c r="I2" s="2" t="s">
        <v>46</v>
      </c>
      <c r="J2" s="2" t="s">
        <v>47</v>
      </c>
      <c r="K2" s="2" t="s">
        <v>48</v>
      </c>
      <c r="L2" s="2" t="s">
        <v>49</v>
      </c>
      <c r="M2" s="6" t="s">
        <v>52</v>
      </c>
      <c r="N2" s="2" t="s">
        <v>75</v>
      </c>
      <c r="O2" s="2" t="s">
        <v>77</v>
      </c>
      <c r="P2" s="1" t="s">
        <v>78</v>
      </c>
      <c r="Q2" s="2" t="s">
        <v>79</v>
      </c>
      <c r="R2" s="2" t="s">
        <v>80</v>
      </c>
      <c r="S2" s="2" t="s">
        <v>81</v>
      </c>
      <c r="T2" s="2">
        <v>2021.0</v>
      </c>
      <c r="U2" s="2">
        <v>2021.0</v>
      </c>
      <c r="V2" s="2">
        <v>2021.0</v>
      </c>
      <c r="Y2" s="2" t="s">
        <v>84</v>
      </c>
    </row>
    <row r="3" ht="15.0" customHeight="1">
      <c r="B3" s="2" t="s">
        <v>38</v>
      </c>
      <c r="C3" s="2" t="s">
        <v>39</v>
      </c>
      <c r="D3" s="1" t="s">
        <v>40</v>
      </c>
      <c r="E3" s="1" t="s">
        <v>88</v>
      </c>
      <c r="F3" s="1" t="s">
        <v>89</v>
      </c>
      <c r="G3" s="1" t="s">
        <v>91</v>
      </c>
      <c r="H3" s="2"/>
      <c r="I3" s="2" t="s">
        <v>46</v>
      </c>
      <c r="J3" s="2" t="s">
        <v>95</v>
      </c>
      <c r="K3" s="2" t="s">
        <v>48</v>
      </c>
      <c r="L3" s="2" t="s">
        <v>97</v>
      </c>
      <c r="M3" s="6" t="s">
        <v>98</v>
      </c>
      <c r="N3" s="2"/>
      <c r="O3" s="2" t="s">
        <v>77</v>
      </c>
      <c r="P3" s="1" t="s">
        <v>86</v>
      </c>
      <c r="Q3" s="2" t="s">
        <v>87</v>
      </c>
      <c r="R3" s="2" t="s">
        <v>115</v>
      </c>
      <c r="S3" s="2" t="s">
        <v>94</v>
      </c>
      <c r="T3" s="2">
        <v>2013.0</v>
      </c>
      <c r="U3" s="2">
        <v>2023.0</v>
      </c>
      <c r="V3" s="2" t="s">
        <v>116</v>
      </c>
      <c r="Y3" s="2" t="s">
        <v>117</v>
      </c>
    </row>
    <row r="4">
      <c r="B4" s="2" t="s">
        <v>38</v>
      </c>
      <c r="C4" s="2" t="s">
        <v>39</v>
      </c>
      <c r="D4" s="2" t="s">
        <v>40</v>
      </c>
      <c r="E4" s="2" t="s">
        <v>119</v>
      </c>
      <c r="F4" s="2" t="s">
        <v>120</v>
      </c>
      <c r="G4" s="1" t="s">
        <v>122</v>
      </c>
      <c r="H4" s="1">
        <v>860.0</v>
      </c>
      <c r="I4" s="2" t="s">
        <v>46</v>
      </c>
      <c r="J4" s="2" t="s">
        <v>95</v>
      </c>
      <c r="K4" s="2" t="s">
        <v>48</v>
      </c>
      <c r="L4" s="2" t="s">
        <v>49</v>
      </c>
      <c r="M4" s="6" t="s">
        <v>126</v>
      </c>
      <c r="N4" s="2" t="s">
        <v>144</v>
      </c>
      <c r="O4" s="2" t="s">
        <v>77</v>
      </c>
      <c r="P4" s="1" t="s">
        <v>86</v>
      </c>
      <c r="Q4" s="2" t="s">
        <v>87</v>
      </c>
      <c r="R4" s="2" t="s">
        <v>80</v>
      </c>
      <c r="S4" s="2" t="s">
        <v>147</v>
      </c>
      <c r="T4" s="2">
        <v>2000.0</v>
      </c>
      <c r="U4" s="2">
        <v>2019.0</v>
      </c>
      <c r="V4" s="2" t="s">
        <v>149</v>
      </c>
      <c r="W4" s="2" t="s">
        <v>151</v>
      </c>
      <c r="Y4" s="9" t="s">
        <v>154</v>
      </c>
    </row>
    <row r="5">
      <c r="B5" s="2" t="s">
        <v>38</v>
      </c>
      <c r="C5" s="2" t="s">
        <v>39</v>
      </c>
      <c r="D5" s="2" t="s">
        <v>155</v>
      </c>
      <c r="E5" s="2" t="s">
        <v>156</v>
      </c>
      <c r="F5" s="1" t="s">
        <v>62</v>
      </c>
      <c r="G5" s="1" t="s">
        <v>157</v>
      </c>
      <c r="H5" s="2"/>
      <c r="I5" s="2" t="s">
        <v>46</v>
      </c>
      <c r="J5" s="2" t="s">
        <v>65</v>
      </c>
      <c r="K5" s="2" t="s">
        <v>160</v>
      </c>
      <c r="L5" s="2" t="s">
        <v>67</v>
      </c>
      <c r="M5" s="6" t="s">
        <v>68</v>
      </c>
      <c r="N5" s="2" t="s">
        <v>179</v>
      </c>
      <c r="O5" s="2" t="s">
        <v>77</v>
      </c>
      <c r="P5" s="1" t="s">
        <v>86</v>
      </c>
      <c r="Q5" s="2" t="s">
        <v>87</v>
      </c>
      <c r="R5" s="2" t="s">
        <v>115</v>
      </c>
      <c r="S5" s="2" t="s">
        <v>94</v>
      </c>
      <c r="T5" s="2">
        <v>2009.0</v>
      </c>
      <c r="U5" s="2">
        <v>2025.0</v>
      </c>
      <c r="V5" s="2" t="s">
        <v>184</v>
      </c>
      <c r="Y5" s="9" t="s">
        <v>186</v>
      </c>
    </row>
    <row r="6">
      <c r="B6" s="2" t="s">
        <v>38</v>
      </c>
      <c r="C6" s="2" t="s">
        <v>39</v>
      </c>
      <c r="D6" s="2" t="s">
        <v>155</v>
      </c>
      <c r="E6" s="2" t="s">
        <v>189</v>
      </c>
      <c r="F6" s="2" t="s">
        <v>189</v>
      </c>
      <c r="G6" s="1" t="s">
        <v>190</v>
      </c>
      <c r="H6" s="2"/>
      <c r="I6" s="2" t="s">
        <v>46</v>
      </c>
      <c r="J6" s="2" t="s">
        <v>47</v>
      </c>
      <c r="K6" s="2" t="s">
        <v>48</v>
      </c>
      <c r="L6" s="2" t="s">
        <v>49</v>
      </c>
      <c r="M6" s="6" t="s">
        <v>194</v>
      </c>
      <c r="N6" s="2" t="s">
        <v>75</v>
      </c>
      <c r="O6" s="2" t="s">
        <v>77</v>
      </c>
      <c r="P6" s="1" t="s">
        <v>78</v>
      </c>
      <c r="Q6" s="2" t="s">
        <v>79</v>
      </c>
      <c r="R6" s="2" t="s">
        <v>80</v>
      </c>
      <c r="S6" s="2" t="s">
        <v>81</v>
      </c>
      <c r="T6" s="2">
        <v>2019.0</v>
      </c>
      <c r="U6" s="2">
        <v>2019.0</v>
      </c>
      <c r="V6" s="2">
        <v>2019.0</v>
      </c>
      <c r="Y6" s="9" t="s">
        <v>210</v>
      </c>
    </row>
    <row r="7">
      <c r="B7" s="2" t="s">
        <v>38</v>
      </c>
      <c r="C7" s="2" t="s">
        <v>39</v>
      </c>
      <c r="D7" s="2" t="s">
        <v>155</v>
      </c>
      <c r="E7" s="2" t="s">
        <v>100</v>
      </c>
      <c r="F7" s="2" t="s">
        <v>100</v>
      </c>
      <c r="G7" s="1" t="s">
        <v>212</v>
      </c>
      <c r="H7" s="2"/>
      <c r="I7" s="2" t="s">
        <v>46</v>
      </c>
      <c r="J7" s="2" t="s">
        <v>105</v>
      </c>
      <c r="K7" s="2" t="s">
        <v>48</v>
      </c>
      <c r="L7" s="2" t="s">
        <v>49</v>
      </c>
      <c r="M7" s="6" t="s">
        <v>213</v>
      </c>
      <c r="N7" s="2" t="s">
        <v>219</v>
      </c>
      <c r="O7" s="2" t="s">
        <v>77</v>
      </c>
      <c r="P7" s="1" t="s">
        <v>78</v>
      </c>
      <c r="Q7" s="2" t="s">
        <v>79</v>
      </c>
      <c r="R7" s="2" t="s">
        <v>125</v>
      </c>
      <c r="S7" s="2" t="s">
        <v>94</v>
      </c>
      <c r="T7" s="2">
        <v>2018.0</v>
      </c>
      <c r="U7" s="2">
        <v>2022.0</v>
      </c>
      <c r="V7" s="2" t="s">
        <v>220</v>
      </c>
      <c r="Y7" s="9" t="s">
        <v>221</v>
      </c>
    </row>
    <row r="8">
      <c r="B8" s="2" t="s">
        <v>38</v>
      </c>
      <c r="C8" s="2" t="s">
        <v>39</v>
      </c>
      <c r="D8" s="2" t="s">
        <v>223</v>
      </c>
      <c r="E8" s="2" t="s">
        <v>225</v>
      </c>
      <c r="F8" s="2" t="s">
        <v>227</v>
      </c>
      <c r="G8" s="1" t="s">
        <v>174</v>
      </c>
      <c r="H8" s="2"/>
      <c r="I8" s="2" t="s">
        <v>229</v>
      </c>
      <c r="J8" s="2" t="s">
        <v>230</v>
      </c>
      <c r="K8" s="2" t="s">
        <v>48</v>
      </c>
      <c r="L8" s="2" t="s">
        <v>49</v>
      </c>
      <c r="M8" s="6" t="s">
        <v>232</v>
      </c>
      <c r="N8" s="2" t="s">
        <v>233</v>
      </c>
      <c r="O8" s="2" t="s">
        <v>234</v>
      </c>
      <c r="P8" s="2" t="s">
        <v>235</v>
      </c>
      <c r="Q8" s="2">
        <v>600.0</v>
      </c>
      <c r="R8" s="2" t="s">
        <v>80</v>
      </c>
      <c r="S8" s="2" t="s">
        <v>94</v>
      </c>
      <c r="T8" s="2">
        <v>1961.0</v>
      </c>
      <c r="U8" s="2">
        <v>2023.0</v>
      </c>
      <c r="V8" s="2" t="s">
        <v>236</v>
      </c>
      <c r="X8" s="2" t="s">
        <v>237</v>
      </c>
    </row>
    <row r="9">
      <c r="B9" s="2" t="s">
        <v>38</v>
      </c>
      <c r="C9" s="2" t="s">
        <v>39</v>
      </c>
      <c r="D9" s="2" t="s">
        <v>223</v>
      </c>
      <c r="E9" s="2" t="s">
        <v>241</v>
      </c>
      <c r="F9" s="1" t="s">
        <v>243</v>
      </c>
      <c r="G9" s="1" t="s">
        <v>245</v>
      </c>
      <c r="H9" s="2"/>
      <c r="I9" s="2" t="s">
        <v>46</v>
      </c>
      <c r="J9" s="2" t="s">
        <v>247</v>
      </c>
      <c r="K9" s="2" t="s">
        <v>48</v>
      </c>
      <c r="L9" s="2" t="s">
        <v>49</v>
      </c>
      <c r="M9" s="6" t="s">
        <v>248</v>
      </c>
      <c r="N9" s="2" t="s">
        <v>252</v>
      </c>
      <c r="O9" s="2" t="s">
        <v>77</v>
      </c>
      <c r="P9" s="2" t="s">
        <v>254</v>
      </c>
      <c r="Q9" s="2">
        <v>5.0</v>
      </c>
      <c r="R9" s="2" t="s">
        <v>80</v>
      </c>
      <c r="S9" s="2" t="s">
        <v>81</v>
      </c>
      <c r="T9" s="2">
        <v>2020.0</v>
      </c>
      <c r="U9" s="2">
        <v>2020.0</v>
      </c>
      <c r="V9" s="2">
        <v>2020.0</v>
      </c>
      <c r="W9" s="2" t="s">
        <v>151</v>
      </c>
      <c r="X9" s="2" t="s">
        <v>258</v>
      </c>
    </row>
    <row r="10">
      <c r="B10" s="2" t="s">
        <v>38</v>
      </c>
      <c r="C10" s="2" t="s">
        <v>39</v>
      </c>
      <c r="D10" s="2" t="s">
        <v>223</v>
      </c>
      <c r="E10" s="1" t="s">
        <v>259</v>
      </c>
      <c r="F10" s="1" t="s">
        <v>182</v>
      </c>
      <c r="G10" s="1" t="s">
        <v>260</v>
      </c>
      <c r="H10" s="1">
        <v>4.0</v>
      </c>
      <c r="I10" s="2" t="s">
        <v>229</v>
      </c>
      <c r="J10" s="1" t="s">
        <v>230</v>
      </c>
      <c r="K10" s="2" t="s">
        <v>48</v>
      </c>
      <c r="L10" s="2" t="s">
        <v>97</v>
      </c>
      <c r="M10" s="6" t="s">
        <v>263</v>
      </c>
      <c r="N10" s="2" t="s">
        <v>267</v>
      </c>
      <c r="O10" s="2" t="s">
        <v>234</v>
      </c>
      <c r="P10" s="2" t="s">
        <v>235</v>
      </c>
      <c r="Q10" s="2">
        <v>600.0</v>
      </c>
      <c r="R10" s="2" t="s">
        <v>80</v>
      </c>
      <c r="S10" s="2" t="s">
        <v>269</v>
      </c>
      <c r="T10" s="1">
        <v>1992.0</v>
      </c>
      <c r="U10" s="1">
        <v>2025.0</v>
      </c>
      <c r="V10" s="1" t="s">
        <v>270</v>
      </c>
    </row>
    <row r="11">
      <c r="B11" s="2" t="s">
        <v>38</v>
      </c>
      <c r="C11" s="2" t="s">
        <v>39</v>
      </c>
      <c r="D11" s="2" t="s">
        <v>223</v>
      </c>
      <c r="E11" s="2" t="s">
        <v>272</v>
      </c>
      <c r="F11" s="2" t="s">
        <v>273</v>
      </c>
      <c r="G11" s="1" t="s">
        <v>174</v>
      </c>
      <c r="H11" s="2"/>
      <c r="I11" s="2" t="s">
        <v>229</v>
      </c>
      <c r="J11" s="2" t="s">
        <v>274</v>
      </c>
      <c r="K11" s="2" t="s">
        <v>48</v>
      </c>
      <c r="L11" s="2" t="s">
        <v>49</v>
      </c>
      <c r="M11" s="6" t="s">
        <v>275</v>
      </c>
      <c r="N11" s="2" t="s">
        <v>233</v>
      </c>
      <c r="O11" s="2" t="s">
        <v>234</v>
      </c>
      <c r="P11" s="2" t="s">
        <v>235</v>
      </c>
      <c r="Q11" s="2">
        <v>600.0</v>
      </c>
      <c r="R11" s="2" t="s">
        <v>80</v>
      </c>
      <c r="S11" s="2" t="s">
        <v>94</v>
      </c>
      <c r="T11" s="2">
        <v>1961.0</v>
      </c>
      <c r="U11" s="2">
        <v>2023.0</v>
      </c>
      <c r="V11" s="2" t="s">
        <v>236</v>
      </c>
    </row>
    <row r="12">
      <c r="B12" s="2" t="s">
        <v>38</v>
      </c>
      <c r="C12" s="2" t="s">
        <v>39</v>
      </c>
      <c r="D12" s="2" t="s">
        <v>276</v>
      </c>
      <c r="E12" s="2" t="s">
        <v>277</v>
      </c>
      <c r="F12" s="2" t="s">
        <v>278</v>
      </c>
      <c r="G12" s="1" t="s">
        <v>172</v>
      </c>
      <c r="H12" s="2"/>
      <c r="I12" s="2" t="s">
        <v>229</v>
      </c>
      <c r="J12" s="2" t="s">
        <v>279</v>
      </c>
      <c r="K12" s="2" t="s">
        <v>48</v>
      </c>
      <c r="L12" s="2" t="s">
        <v>65</v>
      </c>
      <c r="M12" s="6" t="s">
        <v>280</v>
      </c>
      <c r="N12" s="2" t="s">
        <v>172</v>
      </c>
      <c r="O12" s="2" t="s">
        <v>234</v>
      </c>
      <c r="P12" s="2" t="s">
        <v>235</v>
      </c>
      <c r="Q12" s="2">
        <v>600.0</v>
      </c>
      <c r="R12" s="2" t="s">
        <v>125</v>
      </c>
      <c r="S12" s="2" t="s">
        <v>94</v>
      </c>
      <c r="T12" s="2">
        <v>2012.0</v>
      </c>
      <c r="U12" s="2">
        <v>2021.0</v>
      </c>
      <c r="V12" s="2" t="s">
        <v>292</v>
      </c>
    </row>
    <row r="13">
      <c r="B13" s="2" t="s">
        <v>38</v>
      </c>
      <c r="C13" s="2" t="s">
        <v>39</v>
      </c>
      <c r="D13" s="2" t="s">
        <v>276</v>
      </c>
      <c r="E13" s="2" t="s">
        <v>294</v>
      </c>
      <c r="F13" s="2" t="s">
        <v>295</v>
      </c>
      <c r="G13" s="1" t="s">
        <v>65</v>
      </c>
      <c r="H13" s="2"/>
      <c r="I13" s="2" t="s">
        <v>46</v>
      </c>
      <c r="J13" s="2"/>
      <c r="K13" s="2" t="s">
        <v>160</v>
      </c>
      <c r="L13" s="2" t="s">
        <v>65</v>
      </c>
      <c r="M13" s="6" t="s">
        <v>299</v>
      </c>
      <c r="N13" s="2" t="s">
        <v>303</v>
      </c>
      <c r="O13" s="2" t="s">
        <v>65</v>
      </c>
      <c r="P13" s="1" t="s">
        <v>167</v>
      </c>
      <c r="Q13" s="2">
        <v>10.0</v>
      </c>
      <c r="R13" s="2" t="s">
        <v>125</v>
      </c>
      <c r="S13" s="2" t="s">
        <v>81</v>
      </c>
      <c r="T13" s="2">
        <v>2010.0</v>
      </c>
      <c r="U13" s="2">
        <v>2010.0</v>
      </c>
      <c r="V13" s="2">
        <v>2010.0</v>
      </c>
      <c r="W13" s="2">
        <v>3035.0</v>
      </c>
    </row>
    <row r="14">
      <c r="B14" s="2" t="s">
        <v>38</v>
      </c>
      <c r="C14" s="2" t="s">
        <v>39</v>
      </c>
      <c r="D14" s="2" t="s">
        <v>276</v>
      </c>
      <c r="E14" s="1" t="s">
        <v>309</v>
      </c>
      <c r="F14" s="2" t="s">
        <v>310</v>
      </c>
      <c r="G14" s="1" t="s">
        <v>311</v>
      </c>
      <c r="H14" s="2"/>
      <c r="I14" s="2" t="s">
        <v>46</v>
      </c>
      <c r="J14" s="2" t="s">
        <v>47</v>
      </c>
      <c r="K14" s="2" t="s">
        <v>48</v>
      </c>
      <c r="L14" s="2" t="s">
        <v>97</v>
      </c>
      <c r="M14" s="6" t="s">
        <v>312</v>
      </c>
      <c r="N14" s="2" t="s">
        <v>317</v>
      </c>
      <c r="O14" s="2" t="s">
        <v>77</v>
      </c>
      <c r="P14" s="1" t="s">
        <v>86</v>
      </c>
      <c r="Q14" s="2" t="s">
        <v>87</v>
      </c>
      <c r="R14" s="2" t="s">
        <v>80</v>
      </c>
      <c r="S14" s="2" t="s">
        <v>81</v>
      </c>
      <c r="T14" s="2">
        <v>2016.0</v>
      </c>
      <c r="U14" s="2">
        <v>2018.0</v>
      </c>
      <c r="V14" s="2" t="s">
        <v>318</v>
      </c>
      <c r="W14" s="2" t="s">
        <v>151</v>
      </c>
    </row>
    <row r="15">
      <c r="B15" s="2" t="s">
        <v>38</v>
      </c>
      <c r="C15" s="2" t="s">
        <v>39</v>
      </c>
      <c r="D15" s="2" t="s">
        <v>276</v>
      </c>
      <c r="E15" s="2" t="s">
        <v>319</v>
      </c>
      <c r="F15" s="2" t="s">
        <v>320</v>
      </c>
      <c r="G15" s="1" t="s">
        <v>321</v>
      </c>
      <c r="H15" s="2"/>
      <c r="I15" s="2" t="s">
        <v>229</v>
      </c>
      <c r="J15" s="2"/>
      <c r="K15" s="2" t="s">
        <v>48</v>
      </c>
      <c r="L15" s="2" t="s">
        <v>49</v>
      </c>
      <c r="M15" s="6" t="s">
        <v>322</v>
      </c>
      <c r="N15" s="2" t="s">
        <v>197</v>
      </c>
      <c r="O15" s="2" t="s">
        <v>234</v>
      </c>
      <c r="P15" s="2" t="s">
        <v>235</v>
      </c>
      <c r="Q15" s="2">
        <v>600.0</v>
      </c>
      <c r="R15" s="2" t="s">
        <v>80</v>
      </c>
      <c r="T15" s="2">
        <v>1985.0</v>
      </c>
      <c r="U15" s="2">
        <v>1985.0</v>
      </c>
      <c r="V15" s="2">
        <v>1985.0</v>
      </c>
      <c r="X15" s="2" t="s">
        <v>326</v>
      </c>
    </row>
    <row r="16">
      <c r="B16" s="2" t="s">
        <v>38</v>
      </c>
      <c r="C16" s="2" t="s">
        <v>39</v>
      </c>
      <c r="D16" s="2" t="s">
        <v>276</v>
      </c>
      <c r="E16" s="2" t="s">
        <v>327</v>
      </c>
      <c r="F16" s="2" t="s">
        <v>328</v>
      </c>
      <c r="G16" s="1" t="s">
        <v>199</v>
      </c>
      <c r="H16" s="2"/>
      <c r="I16" s="2" t="s">
        <v>229</v>
      </c>
      <c r="J16" s="2" t="s">
        <v>329</v>
      </c>
      <c r="K16" s="2" t="s">
        <v>48</v>
      </c>
      <c r="L16" s="2" t="s">
        <v>49</v>
      </c>
      <c r="M16" s="6" t="s">
        <v>331</v>
      </c>
      <c r="N16" s="2" t="s">
        <v>334</v>
      </c>
      <c r="O16" s="2" t="s">
        <v>234</v>
      </c>
      <c r="P16" s="2" t="s">
        <v>235</v>
      </c>
      <c r="Q16" s="2">
        <v>600.0</v>
      </c>
      <c r="R16" s="2" t="s">
        <v>80</v>
      </c>
      <c r="S16" s="2" t="s">
        <v>81</v>
      </c>
      <c r="T16" s="2">
        <v>2019.0</v>
      </c>
      <c r="U16" s="2">
        <v>2019.0</v>
      </c>
      <c r="V16" s="2">
        <v>2019.0</v>
      </c>
    </row>
    <row r="17">
      <c r="B17" s="2" t="s">
        <v>38</v>
      </c>
      <c r="C17" s="2" t="s">
        <v>39</v>
      </c>
      <c r="D17" s="2" t="s">
        <v>276</v>
      </c>
      <c r="E17" s="2" t="s">
        <v>335</v>
      </c>
      <c r="F17" s="2" t="s">
        <v>336</v>
      </c>
      <c r="G17" s="1" t="s">
        <v>173</v>
      </c>
      <c r="H17" s="2"/>
      <c r="I17" s="2" t="s">
        <v>229</v>
      </c>
      <c r="J17" s="2" t="s">
        <v>329</v>
      </c>
      <c r="K17" s="2" t="s">
        <v>48</v>
      </c>
      <c r="L17" s="2" t="s">
        <v>49</v>
      </c>
      <c r="M17" s="6" t="s">
        <v>337</v>
      </c>
      <c r="N17" s="2" t="s">
        <v>334</v>
      </c>
      <c r="O17" s="2" t="s">
        <v>234</v>
      </c>
      <c r="P17" s="2" t="s">
        <v>235</v>
      </c>
      <c r="Q17" s="2">
        <v>600.0</v>
      </c>
      <c r="R17" s="2" t="s">
        <v>80</v>
      </c>
      <c r="S17" s="2" t="s">
        <v>81</v>
      </c>
      <c r="T17" s="2">
        <v>2000.0</v>
      </c>
      <c r="U17" s="2">
        <v>2000.0</v>
      </c>
      <c r="V17" s="2">
        <v>2000.0</v>
      </c>
    </row>
    <row r="18">
      <c r="B18" s="2" t="s">
        <v>38</v>
      </c>
      <c r="C18" s="2" t="s">
        <v>39</v>
      </c>
      <c r="D18" s="2" t="s">
        <v>346</v>
      </c>
      <c r="E18" s="2" t="s">
        <v>347</v>
      </c>
      <c r="F18" s="2" t="s">
        <v>349</v>
      </c>
      <c r="G18" s="1" t="s">
        <v>174</v>
      </c>
      <c r="H18" s="2"/>
      <c r="I18" s="2" t="s">
        <v>229</v>
      </c>
      <c r="J18" s="2" t="s">
        <v>350</v>
      </c>
      <c r="K18" s="2" t="s">
        <v>48</v>
      </c>
      <c r="L18" s="2" t="s">
        <v>49</v>
      </c>
      <c r="M18" s="6" t="s">
        <v>351</v>
      </c>
      <c r="N18" s="2" t="s">
        <v>233</v>
      </c>
      <c r="O18" s="2" t="s">
        <v>234</v>
      </c>
      <c r="P18" s="2" t="s">
        <v>235</v>
      </c>
      <c r="Q18" s="2">
        <v>600.0</v>
      </c>
      <c r="R18" s="2" t="s">
        <v>80</v>
      </c>
      <c r="S18" s="2" t="s">
        <v>94</v>
      </c>
      <c r="T18" s="2">
        <v>1990.0</v>
      </c>
      <c r="U18" s="2">
        <v>2023.0</v>
      </c>
      <c r="V18" s="2" t="s">
        <v>352</v>
      </c>
    </row>
    <row r="19">
      <c r="B19" s="2" t="s">
        <v>38</v>
      </c>
      <c r="C19" s="2" t="s">
        <v>39</v>
      </c>
      <c r="D19" s="2" t="s">
        <v>346</v>
      </c>
      <c r="E19" s="1" t="s">
        <v>353</v>
      </c>
      <c r="F19" s="1" t="s">
        <v>202</v>
      </c>
      <c r="G19" s="1" t="s">
        <v>200</v>
      </c>
      <c r="H19" s="2"/>
      <c r="I19" s="2" t="s">
        <v>229</v>
      </c>
      <c r="J19" s="2"/>
      <c r="K19" s="2" t="s">
        <v>48</v>
      </c>
      <c r="L19" s="2" t="s">
        <v>65</v>
      </c>
      <c r="M19" s="6" t="s">
        <v>355</v>
      </c>
      <c r="N19" s="2" t="s">
        <v>200</v>
      </c>
      <c r="O19" s="2" t="s">
        <v>234</v>
      </c>
      <c r="P19" s="2" t="s">
        <v>361</v>
      </c>
      <c r="Q19" s="2">
        <v>55.0</v>
      </c>
      <c r="R19" s="2" t="s">
        <v>115</v>
      </c>
      <c r="S19" s="2" t="s">
        <v>94</v>
      </c>
      <c r="T19" s="2">
        <v>1992.0</v>
      </c>
      <c r="U19" s="2">
        <v>2012.0</v>
      </c>
      <c r="V19" s="2" t="s">
        <v>362</v>
      </c>
    </row>
    <row r="20">
      <c r="B20" s="2" t="s">
        <v>38</v>
      </c>
      <c r="C20" s="2" t="s">
        <v>39</v>
      </c>
      <c r="D20" s="2" t="s">
        <v>346</v>
      </c>
      <c r="E20" s="2" t="s">
        <v>363</v>
      </c>
      <c r="F20" s="2" t="s">
        <v>363</v>
      </c>
      <c r="G20" s="1" t="s">
        <v>172</v>
      </c>
      <c r="H20" s="2"/>
      <c r="I20" s="2" t="s">
        <v>229</v>
      </c>
      <c r="J20" s="2"/>
      <c r="K20" s="2" t="s">
        <v>48</v>
      </c>
      <c r="L20" s="2" t="s">
        <v>65</v>
      </c>
      <c r="M20" s="6" t="s">
        <v>280</v>
      </c>
      <c r="N20" s="2" t="s">
        <v>172</v>
      </c>
      <c r="O20" s="2" t="s">
        <v>234</v>
      </c>
      <c r="P20" s="2" t="s">
        <v>235</v>
      </c>
      <c r="Q20" s="2">
        <v>600.0</v>
      </c>
      <c r="R20" s="2" t="s">
        <v>125</v>
      </c>
      <c r="S20" s="2" t="s">
        <v>94</v>
      </c>
      <c r="T20" s="2">
        <v>2015.0</v>
      </c>
      <c r="U20" s="2">
        <v>2024.0</v>
      </c>
      <c r="V20" s="2" t="s">
        <v>364</v>
      </c>
    </row>
    <row r="21" ht="18.75" customHeight="1">
      <c r="B21" s="2" t="s">
        <v>38</v>
      </c>
      <c r="C21" s="2" t="s">
        <v>39</v>
      </c>
      <c r="D21" s="2" t="s">
        <v>346</v>
      </c>
      <c r="E21" s="2" t="s">
        <v>365</v>
      </c>
      <c r="F21" s="2" t="s">
        <v>365</v>
      </c>
      <c r="G21" s="1" t="s">
        <v>172</v>
      </c>
      <c r="H21" s="2"/>
      <c r="I21" s="2" t="s">
        <v>229</v>
      </c>
      <c r="J21" s="2"/>
      <c r="K21" s="2" t="s">
        <v>48</v>
      </c>
      <c r="L21" s="2" t="s">
        <v>65</v>
      </c>
      <c r="M21" s="6" t="s">
        <v>280</v>
      </c>
      <c r="N21" s="2" t="s">
        <v>172</v>
      </c>
      <c r="O21" s="2" t="s">
        <v>234</v>
      </c>
      <c r="P21" s="2" t="s">
        <v>235</v>
      </c>
      <c r="Q21" s="2">
        <v>600.0</v>
      </c>
      <c r="R21" s="2" t="s">
        <v>125</v>
      </c>
      <c r="S21" s="2" t="s">
        <v>94</v>
      </c>
      <c r="T21" s="2">
        <v>2015.0</v>
      </c>
      <c r="U21" s="2">
        <v>2024.0</v>
      </c>
      <c r="V21" s="2" t="s">
        <v>364</v>
      </c>
    </row>
    <row r="22" ht="17.25" customHeight="1">
      <c r="B22" s="2" t="s">
        <v>38</v>
      </c>
      <c r="C22" s="2" t="s">
        <v>39</v>
      </c>
      <c r="D22" s="2" t="s">
        <v>346</v>
      </c>
      <c r="E22" s="2" t="s">
        <v>373</v>
      </c>
      <c r="F22" s="2" t="s">
        <v>374</v>
      </c>
      <c r="G22" s="1" t="s">
        <v>375</v>
      </c>
      <c r="H22" s="2"/>
      <c r="I22" s="2" t="s">
        <v>46</v>
      </c>
      <c r="J22" s="2" t="s">
        <v>376</v>
      </c>
      <c r="K22" s="2" t="s">
        <v>48</v>
      </c>
      <c r="L22" s="2" t="s">
        <v>49</v>
      </c>
      <c r="M22" s="6" t="s">
        <v>378</v>
      </c>
      <c r="N22" s="2" t="s">
        <v>380</v>
      </c>
      <c r="O22" s="2" t="s">
        <v>77</v>
      </c>
      <c r="P22" s="1" t="s">
        <v>167</v>
      </c>
      <c r="Q22" s="2">
        <v>10.0</v>
      </c>
      <c r="R22" s="2" t="s">
        <v>80</v>
      </c>
      <c r="S22" s="2" t="s">
        <v>147</v>
      </c>
      <c r="T22" s="2">
        <v>2015.0</v>
      </c>
      <c r="U22" s="2">
        <v>2025.0</v>
      </c>
      <c r="V22" s="2" t="s">
        <v>382</v>
      </c>
      <c r="W22" s="2" t="s">
        <v>151</v>
      </c>
    </row>
    <row r="23" ht="14.25" customHeight="1">
      <c r="B23" s="2" t="s">
        <v>38</v>
      </c>
      <c r="C23" s="2" t="s">
        <v>39</v>
      </c>
      <c r="D23" s="2" t="s">
        <v>223</v>
      </c>
      <c r="E23" s="2" t="s">
        <v>383</v>
      </c>
      <c r="F23" s="2" t="s">
        <v>384</v>
      </c>
      <c r="G23" s="1" t="s">
        <v>387</v>
      </c>
      <c r="I23" s="2" t="s">
        <v>46</v>
      </c>
      <c r="J23" s="2" t="s">
        <v>389</v>
      </c>
      <c r="K23" s="2" t="s">
        <v>48</v>
      </c>
      <c r="L23" s="2" t="s">
        <v>49</v>
      </c>
      <c r="M23" s="6" t="s">
        <v>392</v>
      </c>
      <c r="N23" s="2" t="s">
        <v>395</v>
      </c>
      <c r="O23" s="2" t="s">
        <v>77</v>
      </c>
      <c r="P23" s="1" t="s">
        <v>397</v>
      </c>
      <c r="Q23" s="7" t="s">
        <v>398</v>
      </c>
      <c r="R23" s="2" t="s">
        <v>80</v>
      </c>
      <c r="S23" s="2" t="s">
        <v>81</v>
      </c>
      <c r="T23" s="2">
        <v>2001.0</v>
      </c>
      <c r="U23" s="2">
        <v>2001.0</v>
      </c>
      <c r="V23" s="2">
        <v>2001.0</v>
      </c>
    </row>
    <row r="24" ht="16.5" customHeight="1">
      <c r="B24" s="2" t="s">
        <v>38</v>
      </c>
      <c r="C24" s="2" t="s">
        <v>39</v>
      </c>
      <c r="D24" s="2" t="s">
        <v>276</v>
      </c>
      <c r="E24" s="2" t="s">
        <v>400</v>
      </c>
      <c r="F24" s="2" t="s">
        <v>401</v>
      </c>
      <c r="G24" s="1" t="s">
        <v>402</v>
      </c>
      <c r="I24" s="2" t="s">
        <v>46</v>
      </c>
      <c r="J24" s="2" t="s">
        <v>403</v>
      </c>
      <c r="K24" s="2" t="s">
        <v>48</v>
      </c>
      <c r="L24" s="2" t="s">
        <v>49</v>
      </c>
      <c r="M24" s="6" t="s">
        <v>405</v>
      </c>
      <c r="N24" s="2" t="s">
        <v>407</v>
      </c>
      <c r="O24" s="2" t="s">
        <v>77</v>
      </c>
      <c r="P24" s="2" t="s">
        <v>408</v>
      </c>
      <c r="Q24" s="7" t="s">
        <v>308</v>
      </c>
      <c r="R24" s="2" t="s">
        <v>80</v>
      </c>
      <c r="S24" s="2" t="s">
        <v>81</v>
      </c>
      <c r="T24" s="2">
        <v>2020.0</v>
      </c>
      <c r="U24" s="2">
        <v>2020.0</v>
      </c>
      <c r="V24" s="2">
        <v>2020.0</v>
      </c>
    </row>
    <row r="25">
      <c r="B25" s="2" t="s">
        <v>38</v>
      </c>
      <c r="C25" s="2" t="s">
        <v>39</v>
      </c>
      <c r="D25" s="2" t="s">
        <v>276</v>
      </c>
      <c r="E25" s="2" t="s">
        <v>409</v>
      </c>
      <c r="F25" s="2" t="s">
        <v>410</v>
      </c>
      <c r="G25" s="1" t="s">
        <v>65</v>
      </c>
      <c r="I25" s="2" t="s">
        <v>229</v>
      </c>
      <c r="K25" s="2" t="s">
        <v>160</v>
      </c>
      <c r="M25" s="6" t="s">
        <v>299</v>
      </c>
      <c r="O25" s="2" t="s">
        <v>413</v>
      </c>
      <c r="P25" s="2" t="s">
        <v>414</v>
      </c>
      <c r="Q25" s="2">
        <v>100.0</v>
      </c>
      <c r="R25" s="2" t="s">
        <v>125</v>
      </c>
      <c r="S25" s="2" t="s">
        <v>94</v>
      </c>
      <c r="T25" s="2">
        <v>1980.0</v>
      </c>
      <c r="U25" s="2">
        <v>2023.0</v>
      </c>
      <c r="V25" s="2" t="s">
        <v>415</v>
      </c>
      <c r="W25" s="2" t="s">
        <v>416</v>
      </c>
    </row>
    <row r="26">
      <c r="B26" s="2" t="s">
        <v>38</v>
      </c>
      <c r="C26" s="2" t="s">
        <v>417</v>
      </c>
      <c r="D26" s="2" t="s">
        <v>419</v>
      </c>
      <c r="E26" s="2" t="s">
        <v>420</v>
      </c>
      <c r="F26" s="2" t="s">
        <v>421</v>
      </c>
      <c r="G26" s="1" t="s">
        <v>422</v>
      </c>
      <c r="H26" s="2"/>
      <c r="I26" s="2" t="s">
        <v>46</v>
      </c>
      <c r="K26" s="2" t="s">
        <v>423</v>
      </c>
      <c r="L26" s="2" t="s">
        <v>49</v>
      </c>
      <c r="M26" s="6" t="s">
        <v>426</v>
      </c>
      <c r="N26" s="2" t="s">
        <v>427</v>
      </c>
      <c r="O26" s="2" t="s">
        <v>77</v>
      </c>
      <c r="P26" s="1" t="s">
        <v>78</v>
      </c>
      <c r="Q26" s="2" t="s">
        <v>79</v>
      </c>
      <c r="R26" s="2" t="s">
        <v>125</v>
      </c>
      <c r="S26" s="2" t="s">
        <v>94</v>
      </c>
      <c r="T26" s="2">
        <v>2017.0</v>
      </c>
      <c r="U26" s="2">
        <v>2023.0</v>
      </c>
      <c r="V26" s="2" t="s">
        <v>429</v>
      </c>
      <c r="W26" s="2" t="s">
        <v>416</v>
      </c>
    </row>
    <row r="27">
      <c r="B27" s="2" t="s">
        <v>38</v>
      </c>
      <c r="C27" s="2" t="s">
        <v>417</v>
      </c>
      <c r="D27" s="2" t="s">
        <v>433</v>
      </c>
      <c r="E27" s="2" t="s">
        <v>434</v>
      </c>
      <c r="F27" s="2" t="s">
        <v>435</v>
      </c>
      <c r="G27" s="1" t="s">
        <v>422</v>
      </c>
      <c r="H27" s="2"/>
      <c r="I27" s="2" t="s">
        <v>46</v>
      </c>
      <c r="K27" s="2" t="s">
        <v>423</v>
      </c>
      <c r="L27" s="2" t="s">
        <v>49</v>
      </c>
      <c r="M27" s="6" t="s">
        <v>436</v>
      </c>
      <c r="N27" s="2" t="s">
        <v>427</v>
      </c>
      <c r="O27" s="2" t="s">
        <v>77</v>
      </c>
      <c r="P27" s="1" t="s">
        <v>78</v>
      </c>
      <c r="Q27" s="2" t="s">
        <v>79</v>
      </c>
      <c r="R27" s="2" t="s">
        <v>125</v>
      </c>
      <c r="S27" s="2" t="s">
        <v>94</v>
      </c>
      <c r="T27" s="2">
        <v>2017.0</v>
      </c>
      <c r="U27" s="2">
        <v>2023.0</v>
      </c>
      <c r="V27" s="2" t="s">
        <v>429</v>
      </c>
      <c r="W27" s="2" t="s">
        <v>416</v>
      </c>
    </row>
    <row r="28">
      <c r="B28" s="2" t="s">
        <v>38</v>
      </c>
      <c r="C28" s="2" t="s">
        <v>417</v>
      </c>
      <c r="D28" s="2" t="s">
        <v>40</v>
      </c>
      <c r="E28" s="2" t="s">
        <v>443</v>
      </c>
      <c r="F28" s="2" t="s">
        <v>444</v>
      </c>
      <c r="G28" s="1" t="s">
        <v>422</v>
      </c>
      <c r="H28" s="2"/>
      <c r="I28" s="2" t="s">
        <v>46</v>
      </c>
      <c r="J28" s="2" t="s">
        <v>445</v>
      </c>
      <c r="K28" s="2" t="s">
        <v>48</v>
      </c>
      <c r="L28" s="2" t="s">
        <v>49</v>
      </c>
      <c r="M28" s="6" t="s">
        <v>446</v>
      </c>
      <c r="N28" s="2" t="s">
        <v>427</v>
      </c>
      <c r="O28" s="2" t="s">
        <v>77</v>
      </c>
      <c r="P28" s="2" t="s">
        <v>451</v>
      </c>
      <c r="Q28" s="2" t="s">
        <v>452</v>
      </c>
      <c r="R28" s="2" t="s">
        <v>125</v>
      </c>
      <c r="S28" s="2" t="s">
        <v>454</v>
      </c>
      <c r="T28" s="2">
        <v>2015.0</v>
      </c>
      <c r="U28" s="2">
        <v>2021.0</v>
      </c>
      <c r="V28" s="2" t="s">
        <v>456</v>
      </c>
      <c r="W28" s="2" t="s">
        <v>416</v>
      </c>
    </row>
    <row r="29">
      <c r="B29" s="2" t="s">
        <v>38</v>
      </c>
      <c r="C29" s="2" t="s">
        <v>222</v>
      </c>
      <c r="D29" s="2" t="s">
        <v>40</v>
      </c>
      <c r="E29" s="2" t="s">
        <v>249</v>
      </c>
      <c r="F29" s="2" t="s">
        <v>249</v>
      </c>
      <c r="G29" s="1" t="s">
        <v>458</v>
      </c>
      <c r="H29" s="2"/>
      <c r="I29" s="2" t="s">
        <v>46</v>
      </c>
      <c r="J29" s="2" t="s">
        <v>105</v>
      </c>
      <c r="K29" s="2" t="s">
        <v>48</v>
      </c>
      <c r="L29" s="2" t="s">
        <v>49</v>
      </c>
      <c r="M29" s="6" t="s">
        <v>251</v>
      </c>
      <c r="N29" s="2"/>
      <c r="O29" s="2" t="s">
        <v>77</v>
      </c>
      <c r="P29" s="2" t="s">
        <v>464</v>
      </c>
      <c r="Q29" s="2">
        <v>1.0</v>
      </c>
      <c r="R29" s="2" t="s">
        <v>80</v>
      </c>
      <c r="S29" s="2" t="s">
        <v>94</v>
      </c>
      <c r="T29" s="2">
        <v>1960.0</v>
      </c>
      <c r="U29" s="2">
        <v>2019.0</v>
      </c>
      <c r="V29" s="2" t="s">
        <v>465</v>
      </c>
      <c r="W29" s="2" t="s">
        <v>151</v>
      </c>
    </row>
    <row r="30">
      <c r="B30" s="2" t="s">
        <v>38</v>
      </c>
      <c r="C30" s="2" t="s">
        <v>222</v>
      </c>
      <c r="D30" s="2" t="s">
        <v>40</v>
      </c>
      <c r="E30" s="2" t="s">
        <v>466</v>
      </c>
      <c r="F30" s="1" t="s">
        <v>467</v>
      </c>
      <c r="G30" s="1" t="s">
        <v>468</v>
      </c>
      <c r="H30" s="2"/>
      <c r="I30" s="2" t="s">
        <v>46</v>
      </c>
      <c r="J30" s="2" t="s">
        <v>469</v>
      </c>
      <c r="K30" s="2" t="s">
        <v>48</v>
      </c>
      <c r="L30" s="2" t="s">
        <v>49</v>
      </c>
      <c r="M30" s="6" t="s">
        <v>471</v>
      </c>
      <c r="N30" s="2" t="s">
        <v>476</v>
      </c>
      <c r="O30" s="2" t="s">
        <v>77</v>
      </c>
      <c r="P30" s="2" t="s">
        <v>477</v>
      </c>
      <c r="Q30" s="2">
        <v>5.0</v>
      </c>
      <c r="R30" s="2" t="s">
        <v>80</v>
      </c>
      <c r="S30" s="2" t="s">
        <v>478</v>
      </c>
      <c r="T30" s="2">
        <v>1982.0</v>
      </c>
      <c r="U30" s="2">
        <v>2016.0</v>
      </c>
      <c r="V30" s="2" t="s">
        <v>479</v>
      </c>
      <c r="W30" s="2" t="s">
        <v>151</v>
      </c>
      <c r="X30" s="2" t="s">
        <v>480</v>
      </c>
    </row>
    <row r="31">
      <c r="B31" s="2" t="s">
        <v>38</v>
      </c>
      <c r="C31" s="2" t="s">
        <v>222</v>
      </c>
      <c r="D31" s="2" t="s">
        <v>40</v>
      </c>
      <c r="E31" s="2" t="s">
        <v>282</v>
      </c>
      <c r="F31" s="2" t="s">
        <v>282</v>
      </c>
      <c r="G31" s="1" t="s">
        <v>481</v>
      </c>
      <c r="H31" s="2"/>
      <c r="I31" s="2" t="s">
        <v>46</v>
      </c>
      <c r="J31" s="2" t="s">
        <v>285</v>
      </c>
      <c r="K31" s="2" t="s">
        <v>48</v>
      </c>
      <c r="L31" s="2" t="s">
        <v>49</v>
      </c>
      <c r="M31" s="6" t="s">
        <v>286</v>
      </c>
      <c r="N31" s="2" t="s">
        <v>487</v>
      </c>
      <c r="O31" s="2" t="s">
        <v>289</v>
      </c>
      <c r="P31" s="2" t="s">
        <v>489</v>
      </c>
      <c r="Q31" s="2">
        <v>30.0</v>
      </c>
      <c r="R31" s="2" t="s">
        <v>80</v>
      </c>
      <c r="S31" s="2" t="s">
        <v>94</v>
      </c>
      <c r="T31" s="2">
        <v>850.0</v>
      </c>
      <c r="U31" s="2">
        <v>2100.0</v>
      </c>
      <c r="V31" s="2" t="s">
        <v>490</v>
      </c>
      <c r="W31" s="2" t="s">
        <v>151</v>
      </c>
      <c r="X31" s="2" t="s">
        <v>293</v>
      </c>
    </row>
    <row r="32">
      <c r="B32" s="2" t="s">
        <v>38</v>
      </c>
      <c r="C32" s="2" t="s">
        <v>222</v>
      </c>
      <c r="D32" s="2" t="s">
        <v>40</v>
      </c>
      <c r="E32" s="2" t="s">
        <v>296</v>
      </c>
      <c r="F32" s="2" t="s">
        <v>297</v>
      </c>
      <c r="G32" s="1" t="s">
        <v>491</v>
      </c>
      <c r="H32" s="2"/>
      <c r="I32" s="2" t="s">
        <v>46</v>
      </c>
      <c r="J32" s="2" t="s">
        <v>301</v>
      </c>
      <c r="K32" s="2" t="s">
        <v>48</v>
      </c>
      <c r="L32" s="2" t="s">
        <v>49</v>
      </c>
      <c r="M32" s="6" t="s">
        <v>302</v>
      </c>
      <c r="N32" s="2" t="s">
        <v>499</v>
      </c>
      <c r="O32" s="2" t="s">
        <v>306</v>
      </c>
      <c r="P32" s="2" t="s">
        <v>408</v>
      </c>
      <c r="Q32" s="2">
        <v>9.0</v>
      </c>
      <c r="R32" s="2" t="s">
        <v>80</v>
      </c>
      <c r="S32" s="2" t="s">
        <v>65</v>
      </c>
      <c r="T32" s="2">
        <v>-10000.0</v>
      </c>
      <c r="U32" s="2">
        <v>2025.0</v>
      </c>
      <c r="V32" s="2" t="s">
        <v>500</v>
      </c>
      <c r="X32" s="2" t="s">
        <v>501</v>
      </c>
    </row>
    <row r="33">
      <c r="B33" s="2" t="s">
        <v>38</v>
      </c>
      <c r="C33" s="2" t="s">
        <v>222</v>
      </c>
      <c r="D33" s="2" t="s">
        <v>40</v>
      </c>
      <c r="E33" s="2" t="s">
        <v>313</v>
      </c>
      <c r="F33" s="2" t="s">
        <v>314</v>
      </c>
      <c r="G33" s="1" t="s">
        <v>502</v>
      </c>
      <c r="H33" s="2"/>
      <c r="I33" s="2" t="s">
        <v>46</v>
      </c>
      <c r="J33" s="2" t="s">
        <v>230</v>
      </c>
      <c r="K33" s="2"/>
      <c r="L33" s="2" t="s">
        <v>97</v>
      </c>
      <c r="M33" s="6" t="s">
        <v>316</v>
      </c>
      <c r="N33" s="2" t="s">
        <v>510</v>
      </c>
      <c r="O33" s="2" t="s">
        <v>325</v>
      </c>
      <c r="P33" s="2" t="s">
        <v>464</v>
      </c>
      <c r="Q33" s="2">
        <v>1.0</v>
      </c>
      <c r="R33" s="2" t="s">
        <v>80</v>
      </c>
      <c r="S33" s="2" t="s">
        <v>269</v>
      </c>
      <c r="T33" s="2">
        <v>1700.0</v>
      </c>
      <c r="U33" s="2">
        <v>2000.0</v>
      </c>
      <c r="V33" s="2" t="s">
        <v>511</v>
      </c>
    </row>
    <row r="34" ht="18.0" customHeight="1">
      <c r="B34" s="2" t="s">
        <v>38</v>
      </c>
      <c r="C34" s="2" t="s">
        <v>512</v>
      </c>
      <c r="D34" s="2" t="s">
        <v>513</v>
      </c>
      <c r="E34" s="2" t="s">
        <v>514</v>
      </c>
      <c r="F34" s="2" t="s">
        <v>515</v>
      </c>
      <c r="G34" s="1" t="s">
        <v>174</v>
      </c>
      <c r="H34" s="2"/>
      <c r="I34" s="2" t="s">
        <v>229</v>
      </c>
      <c r="J34" s="2" t="s">
        <v>230</v>
      </c>
      <c r="K34" s="2" t="s">
        <v>48</v>
      </c>
      <c r="L34" s="2" t="s">
        <v>49</v>
      </c>
      <c r="M34" s="6" t="s">
        <v>516</v>
      </c>
      <c r="N34" s="2" t="s">
        <v>233</v>
      </c>
      <c r="O34" s="2" t="s">
        <v>234</v>
      </c>
      <c r="P34" s="2" t="s">
        <v>235</v>
      </c>
      <c r="Q34" s="2">
        <v>600.0</v>
      </c>
      <c r="R34" s="2" t="s">
        <v>80</v>
      </c>
      <c r="S34" s="2" t="s">
        <v>94</v>
      </c>
      <c r="T34" s="2">
        <v>1961.0</v>
      </c>
      <c r="U34" s="2">
        <v>2023.0</v>
      </c>
      <c r="V34" s="2" t="s">
        <v>236</v>
      </c>
    </row>
    <row r="35">
      <c r="B35" s="2" t="s">
        <v>38</v>
      </c>
      <c r="C35" s="2" t="s">
        <v>512</v>
      </c>
      <c r="D35" s="2" t="s">
        <v>513</v>
      </c>
      <c r="E35" s="2" t="s">
        <v>517</v>
      </c>
      <c r="F35" s="2" t="s">
        <v>518</v>
      </c>
      <c r="G35" s="1" t="s">
        <v>172</v>
      </c>
      <c r="H35" s="2"/>
      <c r="I35" s="2" t="s">
        <v>229</v>
      </c>
      <c r="L35" s="2"/>
      <c r="M35" s="6" t="s">
        <v>521</v>
      </c>
      <c r="N35" s="2" t="s">
        <v>172</v>
      </c>
      <c r="P35" s="2" t="s">
        <v>235</v>
      </c>
      <c r="Q35" s="2">
        <v>600.0</v>
      </c>
      <c r="R35" s="2" t="s">
        <v>125</v>
      </c>
      <c r="S35" s="2" t="s">
        <v>81</v>
      </c>
    </row>
    <row r="36">
      <c r="B36" s="2" t="s">
        <v>38</v>
      </c>
      <c r="C36" s="2" t="s">
        <v>39</v>
      </c>
      <c r="D36" s="2" t="s">
        <v>223</v>
      </c>
      <c r="E36" s="2" t="s">
        <v>527</v>
      </c>
      <c r="F36" s="2" t="s">
        <v>528</v>
      </c>
      <c r="G36" s="1" t="s">
        <v>529</v>
      </c>
      <c r="H36" s="2">
        <v>103.0</v>
      </c>
      <c r="I36" s="2" t="s">
        <v>46</v>
      </c>
      <c r="J36" s="2" t="s">
        <v>530</v>
      </c>
      <c r="K36" s="2" t="s">
        <v>48</v>
      </c>
      <c r="L36" s="2" t="s">
        <v>49</v>
      </c>
      <c r="M36" s="6" t="s">
        <v>531</v>
      </c>
      <c r="N36" s="2" t="s">
        <v>537</v>
      </c>
      <c r="O36" s="2" t="s">
        <v>77</v>
      </c>
      <c r="P36" s="1" t="s">
        <v>167</v>
      </c>
      <c r="Q36" s="2">
        <v>10.0</v>
      </c>
      <c r="R36" s="2" t="s">
        <v>80</v>
      </c>
      <c r="S36" s="2" t="s">
        <v>94</v>
      </c>
      <c r="T36" s="2">
        <v>1961.0</v>
      </c>
      <c r="U36" s="2">
        <v>2020.0</v>
      </c>
      <c r="V36" s="2" t="s">
        <v>541</v>
      </c>
      <c r="X36" s="2" t="s">
        <v>542</v>
      </c>
    </row>
    <row r="37" ht="18.0" customHeight="1">
      <c r="B37" s="2" t="s">
        <v>38</v>
      </c>
      <c r="C37" s="2" t="s">
        <v>39</v>
      </c>
      <c r="D37" s="2" t="s">
        <v>223</v>
      </c>
      <c r="E37" s="2" t="s">
        <v>543</v>
      </c>
      <c r="F37" s="2" t="s">
        <v>544</v>
      </c>
      <c r="G37" s="2"/>
      <c r="H37" s="2">
        <v>10.0</v>
      </c>
      <c r="I37" s="2" t="s">
        <v>229</v>
      </c>
      <c r="J37" s="2" t="s">
        <v>545</v>
      </c>
      <c r="K37" s="2" t="s">
        <v>48</v>
      </c>
      <c r="L37" s="2" t="s">
        <v>49</v>
      </c>
      <c r="M37" s="6" t="s">
        <v>546</v>
      </c>
      <c r="N37" s="2" t="s">
        <v>551</v>
      </c>
      <c r="O37" s="2" t="s">
        <v>234</v>
      </c>
      <c r="P37" s="2" t="s">
        <v>235</v>
      </c>
      <c r="Q37" s="2">
        <v>600.0</v>
      </c>
      <c r="R37" s="2" t="s">
        <v>125</v>
      </c>
      <c r="S37" s="2" t="s">
        <v>94</v>
      </c>
      <c r="T37" s="2">
        <v>1961.0</v>
      </c>
      <c r="U37" s="2">
        <v>2019.0</v>
      </c>
      <c r="V37" s="2" t="s">
        <v>552</v>
      </c>
    </row>
    <row r="38" ht="14.25" customHeight="1">
      <c r="B38" s="1" t="s">
        <v>38</v>
      </c>
      <c r="C38" s="1" t="s">
        <v>39</v>
      </c>
      <c r="D38" s="1" t="s">
        <v>155</v>
      </c>
      <c r="E38" s="1" t="s">
        <v>447</v>
      </c>
      <c r="F38" s="1" t="s">
        <v>447</v>
      </c>
      <c r="I38" s="1" t="s">
        <v>46</v>
      </c>
      <c r="J38" s="1" t="s">
        <v>445</v>
      </c>
      <c r="K38" s="1" t="s">
        <v>48</v>
      </c>
      <c r="L38" s="2" t="s">
        <v>49</v>
      </c>
      <c r="M38" s="8" t="s">
        <v>450</v>
      </c>
      <c r="N38" s="1" t="s">
        <v>555</v>
      </c>
      <c r="O38" s="1" t="s">
        <v>77</v>
      </c>
    </row>
    <row r="39">
      <c r="B39" s="1" t="s">
        <v>38</v>
      </c>
      <c r="C39" s="1" t="s">
        <v>39</v>
      </c>
      <c r="D39" s="1" t="s">
        <v>223</v>
      </c>
      <c r="E39" s="1" t="s">
        <v>556</v>
      </c>
      <c r="F39" s="1" t="s">
        <v>557</v>
      </c>
      <c r="I39" s="1" t="s">
        <v>229</v>
      </c>
      <c r="J39" s="1" t="s">
        <v>560</v>
      </c>
      <c r="K39" s="1" t="s">
        <v>48</v>
      </c>
      <c r="L39" s="1" t="s">
        <v>49</v>
      </c>
      <c r="M39" s="8" t="s">
        <v>562</v>
      </c>
      <c r="R39" s="1" t="s">
        <v>80</v>
      </c>
      <c r="S39" s="1" t="s">
        <v>81</v>
      </c>
      <c r="T39" s="1">
        <v>2000.0</v>
      </c>
      <c r="U39" s="1">
        <v>2000.0</v>
      </c>
      <c r="V39" s="1">
        <v>2000.0</v>
      </c>
    </row>
    <row r="40">
      <c r="B40" s="1" t="s">
        <v>38</v>
      </c>
      <c r="C40" s="1" t="s">
        <v>39</v>
      </c>
      <c r="D40" s="1" t="s">
        <v>155</v>
      </c>
      <c r="E40" s="1" t="s">
        <v>459</v>
      </c>
      <c r="F40" s="1" t="s">
        <v>460</v>
      </c>
      <c r="G40" s="1" t="s">
        <v>136</v>
      </c>
      <c r="H40" s="1">
        <v>1353.0</v>
      </c>
      <c r="I40" s="1" t="s">
        <v>46</v>
      </c>
      <c r="J40" s="1" t="s">
        <v>95</v>
      </c>
      <c r="K40" s="1" t="s">
        <v>48</v>
      </c>
      <c r="L40" s="1" t="s">
        <v>49</v>
      </c>
      <c r="M40" s="8" t="s">
        <v>463</v>
      </c>
      <c r="N40" s="1" t="s">
        <v>572</v>
      </c>
      <c r="O40" s="2" t="s">
        <v>77</v>
      </c>
      <c r="P40" s="1" t="s">
        <v>167</v>
      </c>
      <c r="Q40" s="1">
        <v>10.0</v>
      </c>
      <c r="R40" s="1" t="s">
        <v>80</v>
      </c>
      <c r="S40" s="1" t="s">
        <v>81</v>
      </c>
      <c r="T40" s="1">
        <v>2000.0</v>
      </c>
      <c r="U40" s="1">
        <v>2000.0</v>
      </c>
      <c r="V40" s="1">
        <v>2000.0</v>
      </c>
    </row>
    <row r="41">
      <c r="B41" s="1" t="s">
        <v>38</v>
      </c>
      <c r="C41" s="1" t="s">
        <v>39</v>
      </c>
      <c r="D41" s="1" t="s">
        <v>40</v>
      </c>
      <c r="E41" s="1" t="s">
        <v>558</v>
      </c>
      <c r="F41" s="1" t="s">
        <v>559</v>
      </c>
      <c r="J41" s="1" t="s">
        <v>563</v>
      </c>
      <c r="K41" s="1" t="s">
        <v>48</v>
      </c>
      <c r="L41" s="1" t="s">
        <v>49</v>
      </c>
      <c r="M41" s="8" t="s">
        <v>564</v>
      </c>
      <c r="N41" s="1" t="s">
        <v>583</v>
      </c>
      <c r="O41" s="1" t="s">
        <v>567</v>
      </c>
      <c r="P41" s="1" t="s">
        <v>167</v>
      </c>
      <c r="Q41" s="1">
        <v>10.0</v>
      </c>
      <c r="R41" s="1" t="s">
        <v>80</v>
      </c>
      <c r="T41" s="1">
        <v>1700.0</v>
      </c>
      <c r="U41" s="1">
        <v>1992.0</v>
      </c>
      <c r="V41" s="1" t="s">
        <v>585</v>
      </c>
    </row>
    <row r="42">
      <c r="B42" s="1" t="s">
        <v>38</v>
      </c>
      <c r="C42" s="1" t="s">
        <v>512</v>
      </c>
      <c r="D42" s="1" t="s">
        <v>40</v>
      </c>
      <c r="E42" s="1" t="s">
        <v>586</v>
      </c>
      <c r="F42" s="1" t="s">
        <v>587</v>
      </c>
      <c r="G42" s="1" t="s">
        <v>136</v>
      </c>
      <c r="I42" s="1" t="s">
        <v>46</v>
      </c>
      <c r="K42" s="1" t="s">
        <v>48</v>
      </c>
      <c r="L42" s="1" t="s">
        <v>49</v>
      </c>
      <c r="M42" s="8" t="s">
        <v>588</v>
      </c>
      <c r="N42" s="1" t="s">
        <v>594</v>
      </c>
      <c r="O42" s="1" t="s">
        <v>77</v>
      </c>
      <c r="P42" s="1" t="s">
        <v>167</v>
      </c>
      <c r="Q42" s="1">
        <v>10.0</v>
      </c>
      <c r="R42" s="1" t="s">
        <v>80</v>
      </c>
      <c r="S42" s="1" t="s">
        <v>81</v>
      </c>
      <c r="T42" s="1">
        <v>2010.0</v>
      </c>
      <c r="U42" s="1">
        <v>2010.0</v>
      </c>
      <c r="V42" s="1">
        <v>2010.0</v>
      </c>
    </row>
    <row r="43">
      <c r="B43" s="1" t="s">
        <v>38</v>
      </c>
      <c r="C43" s="1" t="s">
        <v>39</v>
      </c>
      <c r="D43" s="1" t="s">
        <v>155</v>
      </c>
      <c r="E43" s="1" t="s">
        <v>161</v>
      </c>
      <c r="F43" s="1" t="s">
        <v>161</v>
      </c>
      <c r="I43" s="1" t="s">
        <v>229</v>
      </c>
      <c r="K43" s="1" t="s">
        <v>48</v>
      </c>
      <c r="L43" s="1" t="s">
        <v>49</v>
      </c>
      <c r="M43" s="8" t="s">
        <v>488</v>
      </c>
      <c r="N43" s="1" t="s">
        <v>163</v>
      </c>
      <c r="O43" s="1" t="s">
        <v>234</v>
      </c>
      <c r="P43" s="1" t="s">
        <v>235</v>
      </c>
      <c r="Q43" s="1">
        <v>600.0</v>
      </c>
    </row>
    <row r="44">
      <c r="B44" s="1" t="s">
        <v>38</v>
      </c>
      <c r="C44" s="1" t="s">
        <v>39</v>
      </c>
      <c r="D44" s="1" t="s">
        <v>598</v>
      </c>
      <c r="E44" s="1" t="s">
        <v>599</v>
      </c>
      <c r="F44" s="1" t="s">
        <v>600</v>
      </c>
      <c r="M44" s="8" t="s">
        <v>601</v>
      </c>
    </row>
    <row r="45" ht="18.0" customHeight="1">
      <c r="B45" s="1" t="s">
        <v>38</v>
      </c>
      <c r="C45" s="1" t="s">
        <v>39</v>
      </c>
      <c r="E45" s="1" t="s">
        <v>176</v>
      </c>
      <c r="F45" s="1" t="s">
        <v>603</v>
      </c>
      <c r="M45" s="8" t="s">
        <v>185</v>
      </c>
    </row>
    <row r="46">
      <c r="B46" s="1" t="s">
        <v>38</v>
      </c>
      <c r="C46" s="1" t="s">
        <v>607</v>
      </c>
      <c r="D46" s="1" t="s">
        <v>223</v>
      </c>
      <c r="E46" s="1" t="s">
        <v>608</v>
      </c>
      <c r="F46" s="1" t="s">
        <v>609</v>
      </c>
      <c r="G46" s="1" t="s">
        <v>174</v>
      </c>
      <c r="M46" s="8" t="s">
        <v>610</v>
      </c>
    </row>
    <row r="47">
      <c r="B47" s="1" t="s">
        <v>38</v>
      </c>
      <c r="C47" s="1" t="s">
        <v>607</v>
      </c>
      <c r="D47" s="1" t="s">
        <v>40</v>
      </c>
      <c r="E47" s="1" t="s">
        <v>613</v>
      </c>
      <c r="F47" s="1" t="s">
        <v>614</v>
      </c>
      <c r="G47" s="1" t="s">
        <v>615</v>
      </c>
      <c r="M47" s="8" t="s">
        <v>571</v>
      </c>
    </row>
    <row r="48">
      <c r="B48" s="2" t="s">
        <v>618</v>
      </c>
      <c r="C48" s="2" t="s">
        <v>618</v>
      </c>
      <c r="D48" s="2" t="s">
        <v>620</v>
      </c>
      <c r="E48" s="2" t="s">
        <v>621</v>
      </c>
      <c r="F48" s="2" t="s">
        <v>623</v>
      </c>
      <c r="I48" s="2" t="s">
        <v>229</v>
      </c>
      <c r="L48" s="2"/>
      <c r="M48" s="2"/>
      <c r="P48" s="2" t="s">
        <v>235</v>
      </c>
      <c r="Q48" s="2">
        <v>600.0</v>
      </c>
    </row>
    <row r="49">
      <c r="B49" s="2" t="s">
        <v>618</v>
      </c>
      <c r="C49" s="2" t="s">
        <v>618</v>
      </c>
      <c r="D49" s="2"/>
      <c r="E49" s="2" t="s">
        <v>624</v>
      </c>
      <c r="F49" s="2" t="s">
        <v>625</v>
      </c>
      <c r="I49" s="2" t="s">
        <v>46</v>
      </c>
      <c r="P49" s="2" t="s">
        <v>167</v>
      </c>
      <c r="Q49" s="2">
        <v>10.0</v>
      </c>
    </row>
    <row r="50">
      <c r="B50" s="2" t="s">
        <v>618</v>
      </c>
      <c r="C50" s="2" t="s">
        <v>618</v>
      </c>
      <c r="D50" s="2"/>
      <c r="E50" s="2" t="s">
        <v>627</v>
      </c>
      <c r="F50" s="2" t="s">
        <v>627</v>
      </c>
      <c r="G50" s="2"/>
      <c r="H50" s="2"/>
      <c r="I50" s="2" t="s">
        <v>628</v>
      </c>
      <c r="L50" s="2" t="s">
        <v>49</v>
      </c>
      <c r="M50" s="6" t="s">
        <v>629</v>
      </c>
      <c r="N50" s="2"/>
      <c r="P50" s="2" t="s">
        <v>632</v>
      </c>
    </row>
    <row r="51">
      <c r="B51" s="2" t="s">
        <v>618</v>
      </c>
      <c r="C51" s="2" t="s">
        <v>618</v>
      </c>
      <c r="D51" s="2"/>
      <c r="E51" s="2" t="s">
        <v>633</v>
      </c>
      <c r="F51" s="2" t="s">
        <v>633</v>
      </c>
      <c r="G51" s="2"/>
      <c r="H51" s="2"/>
      <c r="I51" s="2" t="s">
        <v>628</v>
      </c>
      <c r="L51" s="2" t="s">
        <v>97</v>
      </c>
      <c r="M51" s="6" t="s">
        <v>635</v>
      </c>
      <c r="N51" s="2"/>
      <c r="O51" s="2"/>
      <c r="R51" s="2" t="s">
        <v>115</v>
      </c>
    </row>
    <row r="52">
      <c r="B52" s="1" t="s">
        <v>39</v>
      </c>
      <c r="C52" s="1" t="s">
        <v>222</v>
      </c>
      <c r="D52" s="1" t="s">
        <v>638</v>
      </c>
      <c r="E52" s="1" t="s">
        <v>535</v>
      </c>
      <c r="F52" s="1" t="s">
        <v>536</v>
      </c>
      <c r="M52" s="8" t="s">
        <v>540</v>
      </c>
      <c r="N52" s="8" t="s">
        <v>642</v>
      </c>
      <c r="O52" s="1" t="s">
        <v>77</v>
      </c>
      <c r="P52" s="1" t="s">
        <v>78</v>
      </c>
      <c r="Q52" s="1" t="s">
        <v>79</v>
      </c>
      <c r="R52" s="1" t="s">
        <v>125</v>
      </c>
      <c r="S52" s="1" t="s">
        <v>94</v>
      </c>
      <c r="T52" s="1">
        <v>2017.0</v>
      </c>
      <c r="U52" s="1">
        <v>2023.0</v>
      </c>
      <c r="V52" s="1" t="s">
        <v>429</v>
      </c>
    </row>
    <row r="53">
      <c r="B53" s="2" t="s">
        <v>646</v>
      </c>
      <c r="C53" s="2" t="s">
        <v>647</v>
      </c>
      <c r="D53" s="2" t="s">
        <v>648</v>
      </c>
      <c r="E53" s="2" t="s">
        <v>649</v>
      </c>
      <c r="F53" s="2" t="s">
        <v>650</v>
      </c>
      <c r="G53" s="2"/>
      <c r="H53" s="2"/>
      <c r="I53" s="2" t="s">
        <v>46</v>
      </c>
      <c r="J53" s="2" t="s">
        <v>247</v>
      </c>
      <c r="K53" s="2" t="s">
        <v>48</v>
      </c>
      <c r="L53" s="2" t="s">
        <v>49</v>
      </c>
      <c r="M53" s="6" t="s">
        <v>651</v>
      </c>
      <c r="N53" s="2" t="s">
        <v>654</v>
      </c>
      <c r="O53" s="2" t="s">
        <v>77</v>
      </c>
      <c r="P53" s="2" t="s">
        <v>464</v>
      </c>
      <c r="Q53" s="2">
        <v>1.0</v>
      </c>
      <c r="R53" s="2" t="s">
        <v>80</v>
      </c>
      <c r="S53" s="2" t="s">
        <v>94</v>
      </c>
      <c r="T53" s="2">
        <v>2001.0</v>
      </c>
      <c r="U53" s="2">
        <v>2024.0</v>
      </c>
      <c r="V53" s="2" t="s">
        <v>655</v>
      </c>
      <c r="W53" s="2" t="s">
        <v>151</v>
      </c>
      <c r="X53" s="2" t="s">
        <v>657</v>
      </c>
    </row>
    <row r="54">
      <c r="B54" s="2" t="s">
        <v>646</v>
      </c>
      <c r="C54" s="2" t="s">
        <v>659</v>
      </c>
      <c r="D54" s="2" t="s">
        <v>660</v>
      </c>
      <c r="E54" s="2" t="s">
        <v>661</v>
      </c>
      <c r="F54" s="2" t="s">
        <v>661</v>
      </c>
      <c r="G54" s="2"/>
      <c r="H54" s="2"/>
      <c r="L54" s="2" t="s">
        <v>65</v>
      </c>
      <c r="M54" s="6" t="s">
        <v>662</v>
      </c>
      <c r="N54" s="2"/>
    </row>
    <row r="55">
      <c r="B55" s="2" t="s">
        <v>646</v>
      </c>
      <c r="C55" s="2" t="s">
        <v>659</v>
      </c>
      <c r="D55" s="2" t="s">
        <v>660</v>
      </c>
      <c r="E55" s="2" t="s">
        <v>663</v>
      </c>
      <c r="F55" s="2" t="s">
        <v>664</v>
      </c>
      <c r="G55" s="2"/>
      <c r="H55" s="2"/>
      <c r="I55" s="2" t="s">
        <v>46</v>
      </c>
      <c r="L55" s="2" t="s">
        <v>49</v>
      </c>
      <c r="M55" s="6" t="s">
        <v>666</v>
      </c>
      <c r="N55" s="2"/>
      <c r="O55" s="2" t="s">
        <v>77</v>
      </c>
      <c r="P55" s="2" t="s">
        <v>464</v>
      </c>
      <c r="Q55" s="2">
        <v>1.0</v>
      </c>
      <c r="R55" s="2" t="s">
        <v>80</v>
      </c>
      <c r="S55" s="2" t="s">
        <v>81</v>
      </c>
      <c r="T55" s="2">
        <v>2009.0</v>
      </c>
      <c r="U55" s="2">
        <v>2009.0</v>
      </c>
      <c r="V55" s="2">
        <v>2009.0</v>
      </c>
    </row>
    <row r="56">
      <c r="B56" s="2" t="s">
        <v>646</v>
      </c>
      <c r="C56" s="2" t="s">
        <v>659</v>
      </c>
      <c r="D56" s="2" t="s">
        <v>660</v>
      </c>
      <c r="E56" s="2" t="s">
        <v>671</v>
      </c>
      <c r="F56" s="2" t="s">
        <v>672</v>
      </c>
      <c r="G56" s="2"/>
      <c r="H56" s="2"/>
      <c r="I56" s="2" t="s">
        <v>46</v>
      </c>
      <c r="J56" s="2" t="s">
        <v>673</v>
      </c>
      <c r="K56" s="2" t="s">
        <v>48</v>
      </c>
      <c r="L56" s="2" t="s">
        <v>97</v>
      </c>
      <c r="M56" s="6" t="s">
        <v>675</v>
      </c>
      <c r="N56" s="2" t="s">
        <v>682</v>
      </c>
      <c r="O56" s="2" t="s">
        <v>77</v>
      </c>
      <c r="P56" s="2" t="s">
        <v>464</v>
      </c>
      <c r="Q56" s="2">
        <v>1.0</v>
      </c>
      <c r="R56" s="2" t="s">
        <v>80</v>
      </c>
      <c r="S56" s="2" t="s">
        <v>269</v>
      </c>
      <c r="T56" s="2">
        <v>1992.0</v>
      </c>
      <c r="U56" s="2">
        <v>2022.0</v>
      </c>
      <c r="V56" s="2" t="s">
        <v>683</v>
      </c>
    </row>
    <row r="57">
      <c r="B57" s="2" t="s">
        <v>646</v>
      </c>
      <c r="C57" s="2" t="s">
        <v>222</v>
      </c>
      <c r="D57" s="2" t="s">
        <v>684</v>
      </c>
      <c r="E57" s="2" t="s">
        <v>685</v>
      </c>
      <c r="F57" s="2" t="s">
        <v>686</v>
      </c>
      <c r="G57" s="2"/>
      <c r="H57" s="2" t="s">
        <v>687</v>
      </c>
      <c r="I57" s="2" t="s">
        <v>46</v>
      </c>
      <c r="J57" s="2" t="s">
        <v>673</v>
      </c>
      <c r="K57" s="2" t="s">
        <v>48</v>
      </c>
      <c r="L57" s="2" t="s">
        <v>49</v>
      </c>
      <c r="M57" s="6" t="s">
        <v>691</v>
      </c>
      <c r="N57" s="2" t="s">
        <v>693</v>
      </c>
      <c r="O57" s="2" t="s">
        <v>77</v>
      </c>
      <c r="P57" s="2" t="s">
        <v>464</v>
      </c>
      <c r="Q57" s="2">
        <v>1.0</v>
      </c>
      <c r="R57" s="2" t="s">
        <v>80</v>
      </c>
      <c r="S57" s="2">
        <v>5.0</v>
      </c>
      <c r="T57" s="2">
        <v>1975.0</v>
      </c>
      <c r="U57" s="2">
        <v>2030.0</v>
      </c>
      <c r="V57" s="2" t="s">
        <v>694</v>
      </c>
      <c r="W57" s="2" t="s">
        <v>151</v>
      </c>
    </row>
    <row r="58">
      <c r="B58" s="2" t="s">
        <v>646</v>
      </c>
      <c r="C58" s="2" t="s">
        <v>222</v>
      </c>
      <c r="D58" s="2" t="s">
        <v>696</v>
      </c>
      <c r="E58" s="2" t="s">
        <v>697</v>
      </c>
      <c r="F58" s="2" t="s">
        <v>698</v>
      </c>
      <c r="G58" s="2"/>
      <c r="H58" s="2" t="s">
        <v>699</v>
      </c>
      <c r="I58" s="2" t="s">
        <v>46</v>
      </c>
      <c r="J58" s="2" t="s">
        <v>247</v>
      </c>
      <c r="K58" s="2" t="s">
        <v>48</v>
      </c>
      <c r="L58" s="2" t="s">
        <v>49</v>
      </c>
      <c r="M58" s="6" t="s">
        <v>700</v>
      </c>
      <c r="N58" s="2" t="s">
        <v>707</v>
      </c>
      <c r="O58" s="2" t="s">
        <v>77</v>
      </c>
      <c r="P58" s="2" t="s">
        <v>464</v>
      </c>
      <c r="Q58" s="2">
        <v>1.0</v>
      </c>
      <c r="R58" s="2" t="s">
        <v>80</v>
      </c>
      <c r="S58" s="2" t="s">
        <v>94</v>
      </c>
      <c r="T58" s="2">
        <v>1975.0</v>
      </c>
      <c r="U58" s="2">
        <v>2030.0</v>
      </c>
      <c r="V58" s="2" t="s">
        <v>694</v>
      </c>
      <c r="W58" s="2" t="s">
        <v>151</v>
      </c>
    </row>
    <row r="59">
      <c r="B59" s="2" t="s">
        <v>646</v>
      </c>
      <c r="C59" s="2" t="s">
        <v>222</v>
      </c>
      <c r="D59" s="2" t="s">
        <v>696</v>
      </c>
      <c r="E59" s="1" t="s">
        <v>711</v>
      </c>
      <c r="F59" s="1" t="s">
        <v>712</v>
      </c>
      <c r="G59" s="2"/>
      <c r="H59" s="2" t="s">
        <v>699</v>
      </c>
      <c r="I59" s="2" t="s">
        <v>46</v>
      </c>
      <c r="J59" s="2" t="s">
        <v>247</v>
      </c>
      <c r="K59" s="2" t="s">
        <v>48</v>
      </c>
      <c r="L59" s="2" t="s">
        <v>49</v>
      </c>
      <c r="M59" s="2" t="s">
        <v>700</v>
      </c>
      <c r="N59" s="2" t="s">
        <v>707</v>
      </c>
      <c r="O59" s="2" t="s">
        <v>77</v>
      </c>
      <c r="P59" s="2" t="s">
        <v>464</v>
      </c>
      <c r="Q59" s="2">
        <v>1.0</v>
      </c>
      <c r="R59" s="2" t="s">
        <v>80</v>
      </c>
      <c r="S59" s="2" t="s">
        <v>94</v>
      </c>
      <c r="T59" s="2">
        <v>1975.0</v>
      </c>
      <c r="U59" s="2">
        <v>2030.0</v>
      </c>
      <c r="V59" s="2" t="s">
        <v>694</v>
      </c>
      <c r="W59" s="2" t="s">
        <v>151</v>
      </c>
    </row>
    <row r="60">
      <c r="B60" s="2" t="s">
        <v>646</v>
      </c>
      <c r="C60" s="2" t="s">
        <v>222</v>
      </c>
      <c r="D60" s="2" t="s">
        <v>40</v>
      </c>
      <c r="E60" s="2" t="s">
        <v>719</v>
      </c>
      <c r="F60" s="1" t="s">
        <v>720</v>
      </c>
      <c r="G60" s="2"/>
      <c r="H60" s="2"/>
      <c r="I60" s="2" t="s">
        <v>46</v>
      </c>
      <c r="J60" s="2" t="s">
        <v>721</v>
      </c>
      <c r="K60" s="2" t="s">
        <v>48</v>
      </c>
      <c r="L60" s="2" t="s">
        <v>49</v>
      </c>
      <c r="M60" s="6" t="s">
        <v>722</v>
      </c>
      <c r="N60" s="2" t="s">
        <v>727</v>
      </c>
      <c r="O60" s="2" t="s">
        <v>77</v>
      </c>
      <c r="P60" s="2" t="s">
        <v>729</v>
      </c>
      <c r="Q60" s="2" t="s">
        <v>369</v>
      </c>
      <c r="R60" s="2" t="s">
        <v>125</v>
      </c>
      <c r="S60" s="2" t="s">
        <v>269</v>
      </c>
      <c r="T60" s="2">
        <v>1990.0</v>
      </c>
      <c r="U60" s="2">
        <v>2018.0</v>
      </c>
      <c r="V60" s="2" t="s">
        <v>731</v>
      </c>
      <c r="W60" s="2" t="s">
        <v>416</v>
      </c>
    </row>
    <row r="61">
      <c r="B61" s="2" t="s">
        <v>646</v>
      </c>
      <c r="C61" s="2" t="s">
        <v>222</v>
      </c>
      <c r="D61" s="2" t="s">
        <v>684</v>
      </c>
      <c r="E61" s="2" t="s">
        <v>733</v>
      </c>
      <c r="F61" s="2" t="s">
        <v>734</v>
      </c>
      <c r="G61" s="2"/>
      <c r="H61" s="2"/>
      <c r="I61" s="2" t="s">
        <v>46</v>
      </c>
      <c r="J61" s="2"/>
      <c r="K61" s="2"/>
      <c r="L61" s="2" t="s">
        <v>49</v>
      </c>
      <c r="M61" s="6" t="s">
        <v>735</v>
      </c>
      <c r="N61" s="2" t="s">
        <v>739</v>
      </c>
      <c r="O61" s="2" t="s">
        <v>77</v>
      </c>
      <c r="P61" s="2" t="s">
        <v>740</v>
      </c>
      <c r="Q61" s="2" t="s">
        <v>741</v>
      </c>
      <c r="R61" s="2" t="s">
        <v>80</v>
      </c>
      <c r="S61" s="2" t="s">
        <v>81</v>
      </c>
      <c r="T61" s="2">
        <v>2020.0</v>
      </c>
      <c r="U61" s="2">
        <v>2020.0</v>
      </c>
      <c r="V61" s="2">
        <v>2020.0</v>
      </c>
    </row>
    <row r="62">
      <c r="B62" s="2" t="s">
        <v>646</v>
      </c>
      <c r="C62" s="2" t="s">
        <v>222</v>
      </c>
      <c r="D62" s="2" t="s">
        <v>684</v>
      </c>
      <c r="E62" s="2" t="s">
        <v>742</v>
      </c>
      <c r="F62" s="2" t="s">
        <v>743</v>
      </c>
      <c r="G62" s="2"/>
      <c r="H62" s="2"/>
      <c r="I62" s="2" t="s">
        <v>46</v>
      </c>
      <c r="J62" s="2" t="s">
        <v>530</v>
      </c>
      <c r="K62" s="2" t="s">
        <v>48</v>
      </c>
      <c r="L62" s="2" t="s">
        <v>49</v>
      </c>
      <c r="M62" s="6" t="s">
        <v>746</v>
      </c>
      <c r="N62" s="6" t="s">
        <v>752</v>
      </c>
      <c r="O62" s="2" t="s">
        <v>325</v>
      </c>
      <c r="P62" s="1" t="s">
        <v>759</v>
      </c>
      <c r="Q62" s="2" t="s">
        <v>760</v>
      </c>
      <c r="R62" s="2" t="s">
        <v>125</v>
      </c>
      <c r="S62" s="2" t="s">
        <v>81</v>
      </c>
      <c r="T62" s="2">
        <v>2015.0</v>
      </c>
      <c r="U62" s="2">
        <v>2015.0</v>
      </c>
      <c r="V62" s="2">
        <v>2015.0</v>
      </c>
      <c r="W62" s="2" t="s">
        <v>416</v>
      </c>
    </row>
    <row r="63">
      <c r="B63" s="2" t="s">
        <v>646</v>
      </c>
      <c r="C63" s="2" t="s">
        <v>762</v>
      </c>
      <c r="D63" s="2" t="s">
        <v>763</v>
      </c>
      <c r="E63" s="2" t="s">
        <v>764</v>
      </c>
      <c r="F63" s="2" t="s">
        <v>765</v>
      </c>
      <c r="I63" s="2" t="s">
        <v>46</v>
      </c>
      <c r="K63" s="2" t="s">
        <v>423</v>
      </c>
      <c r="L63" s="2" t="s">
        <v>49</v>
      </c>
      <c r="M63" s="6" t="s">
        <v>766</v>
      </c>
      <c r="N63" s="2" t="s">
        <v>769</v>
      </c>
      <c r="O63" s="2" t="s">
        <v>77</v>
      </c>
      <c r="P63" s="2" t="s">
        <v>770</v>
      </c>
      <c r="Q63" s="7" t="s">
        <v>432</v>
      </c>
      <c r="R63" s="2" t="s">
        <v>80</v>
      </c>
      <c r="S63" s="2" t="s">
        <v>81</v>
      </c>
      <c r="T63" s="2">
        <v>1995.0</v>
      </c>
      <c r="U63" s="2">
        <v>1995.0</v>
      </c>
      <c r="V63" s="2">
        <v>1995.0</v>
      </c>
    </row>
    <row r="64">
      <c r="B64" s="2" t="s">
        <v>646</v>
      </c>
      <c r="C64" s="2" t="s">
        <v>762</v>
      </c>
      <c r="D64" s="1" t="s">
        <v>771</v>
      </c>
      <c r="E64" s="2" t="s">
        <v>772</v>
      </c>
      <c r="F64" s="2" t="s">
        <v>773</v>
      </c>
      <c r="I64" s="2" t="s">
        <v>46</v>
      </c>
      <c r="J64" s="2" t="s">
        <v>775</v>
      </c>
      <c r="K64" s="2" t="s">
        <v>423</v>
      </c>
      <c r="L64" s="2" t="s">
        <v>49</v>
      </c>
      <c r="M64" s="6" t="s">
        <v>777</v>
      </c>
      <c r="N64" s="2" t="s">
        <v>781</v>
      </c>
      <c r="O64" s="2" t="s">
        <v>77</v>
      </c>
      <c r="P64" s="2" t="s">
        <v>783</v>
      </c>
      <c r="Q64" s="7" t="s">
        <v>523</v>
      </c>
      <c r="R64" s="2" t="s">
        <v>80</v>
      </c>
      <c r="S64" s="2" t="s">
        <v>94</v>
      </c>
      <c r="T64" s="2">
        <v>2001.0</v>
      </c>
      <c r="U64" s="2">
        <v>2025.0</v>
      </c>
      <c r="V64" s="2" t="s">
        <v>784</v>
      </c>
    </row>
    <row r="65">
      <c r="B65" s="2" t="s">
        <v>646</v>
      </c>
      <c r="C65" s="2" t="s">
        <v>785</v>
      </c>
      <c r="D65" s="2" t="s">
        <v>155</v>
      </c>
      <c r="E65" s="2" t="s">
        <v>786</v>
      </c>
      <c r="F65" s="2" t="s">
        <v>786</v>
      </c>
      <c r="I65" s="2" t="s">
        <v>46</v>
      </c>
      <c r="J65" s="2" t="s">
        <v>788</v>
      </c>
      <c r="K65" s="2" t="s">
        <v>423</v>
      </c>
      <c r="L65" s="2" t="s">
        <v>49</v>
      </c>
      <c r="M65" s="6" t="s">
        <v>790</v>
      </c>
      <c r="O65" s="2" t="s">
        <v>77</v>
      </c>
      <c r="P65" s="1" t="s">
        <v>709</v>
      </c>
      <c r="Q65" s="7" t="s">
        <v>710</v>
      </c>
      <c r="R65" s="2" t="s">
        <v>80</v>
      </c>
      <c r="S65" s="2" t="s">
        <v>81</v>
      </c>
      <c r="T65" s="2">
        <v>2006.0</v>
      </c>
      <c r="U65" s="2">
        <v>2006.0</v>
      </c>
      <c r="V65" s="2" t="s">
        <v>793</v>
      </c>
    </row>
    <row r="66">
      <c r="B66" s="2" t="s">
        <v>646</v>
      </c>
      <c r="C66" s="2" t="s">
        <v>785</v>
      </c>
      <c r="D66" s="2" t="s">
        <v>155</v>
      </c>
      <c r="E66" s="2" t="s">
        <v>794</v>
      </c>
      <c r="F66" s="2" t="s">
        <v>795</v>
      </c>
      <c r="I66" s="2" t="s">
        <v>46</v>
      </c>
      <c r="J66" s="2" t="s">
        <v>95</v>
      </c>
      <c r="K66" s="2" t="s">
        <v>48</v>
      </c>
      <c r="L66" s="2" t="s">
        <v>49</v>
      </c>
      <c r="M66" s="6" t="s">
        <v>799</v>
      </c>
      <c r="O66" s="2" t="s">
        <v>413</v>
      </c>
      <c r="P66" s="2" t="s">
        <v>464</v>
      </c>
      <c r="Q66" s="7" t="s">
        <v>257</v>
      </c>
      <c r="R66" s="2" t="s">
        <v>80</v>
      </c>
      <c r="S66" s="2" t="s">
        <v>81</v>
      </c>
      <c r="T66" s="2">
        <v>2023.0</v>
      </c>
      <c r="U66" s="2">
        <v>2023.0</v>
      </c>
      <c r="V66" s="2">
        <v>2023.0</v>
      </c>
    </row>
    <row r="67">
      <c r="B67" s="2" t="s">
        <v>646</v>
      </c>
      <c r="C67" s="2" t="s">
        <v>785</v>
      </c>
      <c r="D67" s="2" t="s">
        <v>801</v>
      </c>
      <c r="E67" s="2" t="s">
        <v>802</v>
      </c>
      <c r="F67" s="2" t="s">
        <v>803</v>
      </c>
      <c r="I67" s="2" t="s">
        <v>46</v>
      </c>
      <c r="L67" s="2" t="s">
        <v>49</v>
      </c>
      <c r="M67" s="6" t="s">
        <v>804</v>
      </c>
      <c r="O67" s="2" t="s">
        <v>413</v>
      </c>
      <c r="P67" s="2" t="s">
        <v>464</v>
      </c>
      <c r="Q67" s="7" t="s">
        <v>257</v>
      </c>
      <c r="R67" s="2" t="s">
        <v>80</v>
      </c>
      <c r="S67" s="2" t="s">
        <v>81</v>
      </c>
      <c r="T67" s="2">
        <v>2023.0</v>
      </c>
      <c r="U67" s="2">
        <v>2023.0</v>
      </c>
      <c r="V67" s="2">
        <v>2023.0</v>
      </c>
    </row>
    <row r="68">
      <c r="B68" s="2" t="s">
        <v>646</v>
      </c>
      <c r="C68" s="2" t="s">
        <v>785</v>
      </c>
      <c r="D68" s="2" t="s">
        <v>808</v>
      </c>
      <c r="E68" s="2" t="s">
        <v>809</v>
      </c>
      <c r="F68" s="2" t="s">
        <v>810</v>
      </c>
      <c r="I68" s="2" t="s">
        <v>46</v>
      </c>
      <c r="J68" s="2" t="s">
        <v>811</v>
      </c>
      <c r="K68" s="2" t="s">
        <v>48</v>
      </c>
      <c r="L68" s="2" t="s">
        <v>49</v>
      </c>
      <c r="M68" s="6" t="s">
        <v>812</v>
      </c>
      <c r="O68" s="2" t="s">
        <v>413</v>
      </c>
      <c r="P68" s="2" t="s">
        <v>464</v>
      </c>
      <c r="Q68" s="7" t="s">
        <v>257</v>
      </c>
      <c r="R68" s="2" t="s">
        <v>80</v>
      </c>
      <c r="S68" s="2" t="s">
        <v>81</v>
      </c>
      <c r="T68" s="2">
        <v>2023.0</v>
      </c>
      <c r="U68" s="2">
        <v>2023.0</v>
      </c>
      <c r="V68" s="2">
        <v>2023.0</v>
      </c>
    </row>
    <row r="69">
      <c r="B69" s="2" t="s">
        <v>646</v>
      </c>
      <c r="C69" s="2" t="s">
        <v>785</v>
      </c>
      <c r="D69" s="2" t="s">
        <v>155</v>
      </c>
      <c r="E69" s="2" t="s">
        <v>821</v>
      </c>
      <c r="F69" s="2" t="s">
        <v>822</v>
      </c>
      <c r="I69" s="2" t="s">
        <v>46</v>
      </c>
      <c r="K69" s="2" t="s">
        <v>823</v>
      </c>
      <c r="L69" s="1" t="s">
        <v>65</v>
      </c>
      <c r="M69" s="6" t="s">
        <v>824</v>
      </c>
      <c r="N69" s="2" t="s">
        <v>827</v>
      </c>
      <c r="O69" s="2" t="s">
        <v>77</v>
      </c>
      <c r="P69" s="2" t="s">
        <v>464</v>
      </c>
      <c r="Q69" s="7" t="s">
        <v>257</v>
      </c>
      <c r="R69" s="2" t="s">
        <v>125</v>
      </c>
      <c r="S69" s="2" t="s">
        <v>81</v>
      </c>
      <c r="T69" s="2">
        <v>2009.0</v>
      </c>
      <c r="U69" s="2">
        <v>2009.0</v>
      </c>
      <c r="V69" s="2">
        <v>2009.0</v>
      </c>
    </row>
    <row r="70">
      <c r="B70" s="1" t="s">
        <v>646</v>
      </c>
      <c r="C70" s="1" t="s">
        <v>222</v>
      </c>
      <c r="D70" s="1" t="s">
        <v>696</v>
      </c>
      <c r="E70" s="1" t="s">
        <v>831</v>
      </c>
      <c r="F70" s="1" t="s">
        <v>832</v>
      </c>
      <c r="M70" s="8" t="s">
        <v>833</v>
      </c>
    </row>
    <row r="71">
      <c r="B71" s="1" t="s">
        <v>646</v>
      </c>
      <c r="C71" s="1" t="s">
        <v>222</v>
      </c>
      <c r="D71" s="1" t="s">
        <v>684</v>
      </c>
      <c r="E71" s="1" t="s">
        <v>838</v>
      </c>
      <c r="F71" s="1" t="s">
        <v>839</v>
      </c>
    </row>
    <row r="72">
      <c r="B72" s="1" t="s">
        <v>646</v>
      </c>
      <c r="C72" s="1" t="s">
        <v>659</v>
      </c>
      <c r="D72" s="1" t="s">
        <v>840</v>
      </c>
      <c r="E72" s="1" t="s">
        <v>841</v>
      </c>
      <c r="F72" s="1" t="s">
        <v>842</v>
      </c>
      <c r="M72" s="8" t="s">
        <v>843</v>
      </c>
    </row>
    <row r="73">
      <c r="B73" s="1" t="s">
        <v>646</v>
      </c>
      <c r="C73" s="1" t="s">
        <v>647</v>
      </c>
      <c r="E73" s="1" t="s">
        <v>846</v>
      </c>
      <c r="F73" s="1" t="s">
        <v>847</v>
      </c>
      <c r="M73" s="8" t="s">
        <v>848</v>
      </c>
    </row>
    <row r="74">
      <c r="B74" s="1" t="s">
        <v>646</v>
      </c>
      <c r="C74" s="1" t="s">
        <v>762</v>
      </c>
      <c r="D74" s="1" t="s">
        <v>771</v>
      </c>
      <c r="E74" s="1" t="s">
        <v>852</v>
      </c>
      <c r="F74" s="1" t="s">
        <v>191</v>
      </c>
      <c r="M74" s="8" t="s">
        <v>853</v>
      </c>
    </row>
    <row r="75">
      <c r="B75" s="1" t="s">
        <v>646</v>
      </c>
      <c r="C75" s="1" t="s">
        <v>222</v>
      </c>
      <c r="D75" s="1" t="s">
        <v>155</v>
      </c>
      <c r="E75" s="1" t="s">
        <v>854</v>
      </c>
      <c r="F75" s="1" t="s">
        <v>855</v>
      </c>
      <c r="G75" s="1" t="s">
        <v>101</v>
      </c>
    </row>
    <row r="76">
      <c r="B76" s="1" t="s">
        <v>646</v>
      </c>
      <c r="C76" s="1" t="s">
        <v>222</v>
      </c>
      <c r="D76" s="1" t="s">
        <v>856</v>
      </c>
      <c r="E76" s="1" t="s">
        <v>857</v>
      </c>
      <c r="F76" s="1" t="s">
        <v>858</v>
      </c>
      <c r="G76" s="1" t="s">
        <v>76</v>
      </c>
    </row>
    <row r="77">
      <c r="B77" s="1" t="s">
        <v>646</v>
      </c>
      <c r="C77" s="1" t="s">
        <v>647</v>
      </c>
      <c r="D77" s="1" t="s">
        <v>40</v>
      </c>
      <c r="E77" s="1" t="s">
        <v>859</v>
      </c>
      <c r="F77" s="1" t="s">
        <v>570</v>
      </c>
      <c r="G77" s="1" t="s">
        <v>76</v>
      </c>
      <c r="M77" s="10" t="s">
        <v>860</v>
      </c>
    </row>
    <row r="78" ht="15.0" customHeight="1">
      <c r="B78" s="1" t="s">
        <v>38</v>
      </c>
      <c r="C78" s="1" t="s">
        <v>39</v>
      </c>
      <c r="D78" s="1" t="s">
        <v>155</v>
      </c>
      <c r="E78" s="1" t="s">
        <v>132</v>
      </c>
      <c r="F78" s="1" t="s">
        <v>134</v>
      </c>
      <c r="G78" s="1" t="s">
        <v>865</v>
      </c>
      <c r="M78" s="10" t="s">
        <v>140</v>
      </c>
      <c r="N78" s="1" t="s">
        <v>866</v>
      </c>
    </row>
    <row r="79">
      <c r="F79" s="1" t="s">
        <v>561</v>
      </c>
      <c r="G79" s="1" t="s">
        <v>869</v>
      </c>
    </row>
    <row r="80">
      <c r="F80" s="1" t="s">
        <v>461</v>
      </c>
      <c r="G80" s="1" t="s">
        <v>870</v>
      </c>
    </row>
    <row r="81">
      <c r="B81" s="1" t="s">
        <v>646</v>
      </c>
      <c r="C81" s="1" t="s">
        <v>222</v>
      </c>
      <c r="D81" s="1" t="s">
        <v>155</v>
      </c>
      <c r="E81" s="1" t="s">
        <v>871</v>
      </c>
      <c r="F81" s="1" t="s">
        <v>872</v>
      </c>
      <c r="G81" s="1" t="s">
        <v>873</v>
      </c>
    </row>
    <row r="82">
      <c r="B82" s="1" t="s">
        <v>646</v>
      </c>
      <c r="C82" s="1" t="s">
        <v>222</v>
      </c>
      <c r="D82" s="1" t="s">
        <v>875</v>
      </c>
      <c r="F82" s="1" t="s">
        <v>876</v>
      </c>
      <c r="G82" s="1" t="s">
        <v>877</v>
      </c>
      <c r="M82" s="8" t="s">
        <v>878</v>
      </c>
    </row>
    <row r="83">
      <c r="F83" s="1" t="s">
        <v>879</v>
      </c>
    </row>
    <row r="84">
      <c r="F84" s="1" t="s">
        <v>881</v>
      </c>
    </row>
    <row r="85">
      <c r="F85" s="1" t="s">
        <v>883</v>
      </c>
    </row>
    <row r="86">
      <c r="F86" s="1" t="s">
        <v>884</v>
      </c>
    </row>
  </sheetData>
  <autoFilter ref="$A$1:$Y$86">
    <sortState ref="A1:Y86">
      <sortCondition ref="B1:B86"/>
    </sortState>
  </autoFilter>
  <hyperlinks>
    <hyperlink r:id="rId1" ref="M2"/>
    <hyperlink r:id="rId2" ref="M3"/>
    <hyperlink r:id="rId3" ref="M4"/>
    <hyperlink r:id="rId4" ref="M5"/>
    <hyperlink r:id="rId5" location="description" ref="M6"/>
    <hyperlink r:id="rId6" ref="M7"/>
    <hyperlink r:id="rId7" location="data/RFN" ref="M8"/>
    <hyperlink r:id="rId8" ref="M9"/>
    <hyperlink r:id="rId9" location="readme" ref="M10"/>
    <hyperlink r:id="rId10" location="data/ESB" ref="M11"/>
    <hyperlink r:id="rId11" ref="M12"/>
    <hyperlink r:id="rId12" ref="M13"/>
    <hyperlink r:id="rId13" location="dataset-preprocessing" ref="M14"/>
    <hyperlink r:id="rId14" ref="M15"/>
    <hyperlink r:id="rId15" ref="M16"/>
    <hyperlink r:id="rId16" ref="M17"/>
    <hyperlink r:id="rId17" location="data/RP" ref="M18"/>
    <hyperlink r:id="rId18" ref="M19"/>
    <hyperlink r:id="rId19" ref="M20"/>
    <hyperlink r:id="rId20" ref="M21"/>
    <hyperlink r:id="rId21" ref="M22"/>
    <hyperlink r:id="rId22" ref="M23"/>
    <hyperlink r:id="rId23" ref="M24"/>
    <hyperlink r:id="rId24" ref="M25"/>
    <hyperlink r:id="rId25" ref="M26"/>
    <hyperlink r:id="rId26" ref="M27"/>
    <hyperlink r:id="rId27" ref="M28"/>
    <hyperlink r:id="rId28" ref="M29"/>
    <hyperlink r:id="rId29" ref="M30"/>
    <hyperlink r:id="rId30" ref="M31"/>
    <hyperlink r:id="rId31" ref="M32"/>
    <hyperlink r:id="rId32" ref="M33"/>
    <hyperlink r:id="rId33" location="data/EK" ref="M34"/>
    <hyperlink r:id="rId34" ref="M35"/>
    <hyperlink r:id="rId35" ref="M36"/>
    <hyperlink r:id="rId36" ref="M37"/>
    <hyperlink r:id="rId37" ref="M38"/>
    <hyperlink r:id="rId38" location=".YqlfS3ZBy5d" ref="M39"/>
    <hyperlink r:id="rId39" ref="M40"/>
    <hyperlink r:id="rId40" ref="M41"/>
    <hyperlink r:id="rId41" ref="M42"/>
    <hyperlink r:id="rId42" ref="M43"/>
    <hyperlink r:id="rId43" ref="M44"/>
    <hyperlink r:id="rId44" ref="M45"/>
    <hyperlink r:id="rId45" ref="M46"/>
    <hyperlink r:id="rId46" ref="M47"/>
    <hyperlink r:id="rId47" ref="M50"/>
    <hyperlink r:id="rId48" ref="M51"/>
    <hyperlink r:id="rId49" ref="M52"/>
    <hyperlink r:id="rId50" ref="N52"/>
    <hyperlink r:id="rId51" ref="M53"/>
    <hyperlink r:id="rId52" ref="M54"/>
    <hyperlink r:id="rId53" ref="M55"/>
    <hyperlink r:id="rId54" location="Sec8" ref="M56"/>
    <hyperlink r:id="rId55" ref="M57"/>
    <hyperlink r:id="rId56" ref="M58"/>
    <hyperlink r:id="rId57" ref="M60"/>
    <hyperlink r:id="rId58" ref="M61"/>
    <hyperlink r:id="rId59" ref="M62"/>
    <hyperlink r:id="rId60" ref="N62"/>
    <hyperlink r:id="rId61" ref="M63"/>
    <hyperlink r:id="rId62" ref="M64"/>
    <hyperlink r:id="rId63" ref="M65"/>
    <hyperlink r:id="rId64" ref="M66"/>
    <hyperlink r:id="rId65" ref="M67"/>
    <hyperlink r:id="rId66" ref="M68"/>
    <hyperlink r:id="rId67" ref="M69"/>
    <hyperlink r:id="rId68" ref="M70"/>
    <hyperlink r:id="rId69" ref="M72"/>
    <hyperlink r:id="rId70" ref="M73"/>
    <hyperlink r:id="rId71" ref="M74"/>
    <hyperlink r:id="rId72" ref="M77"/>
    <hyperlink r:id="rId73" ref="M78"/>
    <hyperlink r:id="rId74" ref="M82"/>
  </hyperlinks>
  <drawing r:id="rId7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6" max="6" width="44.25"/>
    <col customWidth="1" min="7" max="7" width="21.5"/>
    <col customWidth="1" min="8" max="8" width="11.25"/>
    <col customWidth="1" min="9" max="10" width="16.75"/>
    <col customWidth="1" min="11" max="11" width="13.25"/>
    <col customWidth="1" min="12" max="12" width="10.25"/>
    <col customWidth="1" min="13" max="13" width="8.25"/>
    <col customWidth="1" min="15" max="15" width="32.75"/>
    <col customWidth="1" min="16" max="16" width="33.0"/>
    <col customWidth="1" min="19" max="19" width="17.75"/>
  </cols>
  <sheetData>
    <row r="1">
      <c r="A1" s="2" t="s">
        <v>1</v>
      </c>
      <c r="B1" s="2" t="s">
        <v>5</v>
      </c>
      <c r="C1" s="1" t="s">
        <v>11</v>
      </c>
      <c r="D1" s="1" t="s">
        <v>14</v>
      </c>
      <c r="E1" s="1" t="s">
        <v>17</v>
      </c>
      <c r="F1" s="2" t="s">
        <v>10</v>
      </c>
      <c r="G1" s="3" t="s">
        <v>13</v>
      </c>
      <c r="H1" s="1" t="s">
        <v>28</v>
      </c>
      <c r="I1" s="1" t="s">
        <v>9</v>
      </c>
      <c r="J1" s="1" t="s">
        <v>32</v>
      </c>
      <c r="K1" s="2" t="s">
        <v>19</v>
      </c>
      <c r="L1" s="2" t="s">
        <v>20</v>
      </c>
      <c r="M1" s="2" t="s">
        <v>22</v>
      </c>
      <c r="N1" s="2" t="s">
        <v>23</v>
      </c>
      <c r="O1" s="1" t="s">
        <v>42</v>
      </c>
      <c r="P1" s="2" t="s">
        <v>24</v>
      </c>
      <c r="Q1" s="2" t="s">
        <v>25</v>
      </c>
      <c r="R1" s="2" t="s">
        <v>26</v>
      </c>
      <c r="S1" s="2" t="s">
        <v>27</v>
      </c>
      <c r="T1" s="1" t="s">
        <v>51</v>
      </c>
      <c r="U1" s="1" t="s">
        <v>29</v>
      </c>
      <c r="V1" s="2" t="s">
        <v>30</v>
      </c>
      <c r="W1" s="2" t="s">
        <v>31</v>
      </c>
      <c r="X1" s="2" t="s">
        <v>33</v>
      </c>
      <c r="Y1" s="2" t="s">
        <v>36</v>
      </c>
    </row>
    <row r="2">
      <c r="A2" s="1">
        <v>1.0</v>
      </c>
      <c r="B2" s="2" t="s">
        <v>38</v>
      </c>
      <c r="C2" s="1" t="s">
        <v>39</v>
      </c>
      <c r="D2" s="1" t="s">
        <v>59</v>
      </c>
      <c r="E2" s="1" t="s">
        <v>60</v>
      </c>
      <c r="F2" s="1" t="s">
        <v>61</v>
      </c>
      <c r="G2" s="4" t="s">
        <v>62</v>
      </c>
      <c r="I2" s="1" t="s">
        <v>64</v>
      </c>
      <c r="J2" s="1"/>
      <c r="K2" s="2" t="s">
        <v>46</v>
      </c>
      <c r="L2" s="2" t="s">
        <v>65</v>
      </c>
      <c r="M2" s="2" t="s">
        <v>67</v>
      </c>
      <c r="N2" s="6" t="s">
        <v>68</v>
      </c>
      <c r="O2" s="1" t="s">
        <v>83</v>
      </c>
      <c r="P2" s="1" t="s">
        <v>85</v>
      </c>
      <c r="Q2" s="2" t="s">
        <v>77</v>
      </c>
      <c r="R2" s="1" t="s">
        <v>86</v>
      </c>
      <c r="S2" s="7" t="s">
        <v>87</v>
      </c>
      <c r="T2" s="1" t="s">
        <v>92</v>
      </c>
      <c r="U2" s="1" t="s">
        <v>93</v>
      </c>
      <c r="V2" s="2" t="s">
        <v>94</v>
      </c>
      <c r="W2" s="2">
        <v>2009.0</v>
      </c>
      <c r="X2" s="2">
        <v>2025.0</v>
      </c>
    </row>
    <row r="3">
      <c r="A3" s="1">
        <v>2.0</v>
      </c>
      <c r="B3" s="2" t="s">
        <v>38</v>
      </c>
      <c r="C3" s="1" t="s">
        <v>39</v>
      </c>
      <c r="D3" s="1" t="s">
        <v>59</v>
      </c>
      <c r="E3" s="1" t="s">
        <v>60</v>
      </c>
      <c r="F3" s="2" t="s">
        <v>100</v>
      </c>
      <c r="G3" s="3" t="s">
        <v>100</v>
      </c>
      <c r="H3" s="1"/>
      <c r="I3" s="1" t="s">
        <v>102</v>
      </c>
      <c r="J3" s="1" t="s">
        <v>103</v>
      </c>
      <c r="K3" s="2" t="s">
        <v>46</v>
      </c>
      <c r="L3" s="2" t="s">
        <v>105</v>
      </c>
      <c r="M3" s="2" t="s">
        <v>49</v>
      </c>
      <c r="N3" s="8" t="s">
        <v>108</v>
      </c>
      <c r="O3" s="1" t="s">
        <v>121</v>
      </c>
      <c r="P3" s="1" t="s">
        <v>123</v>
      </c>
      <c r="Q3" s="2" t="s">
        <v>77</v>
      </c>
      <c r="R3" s="1" t="s">
        <v>78</v>
      </c>
      <c r="S3" s="7" t="s">
        <v>79</v>
      </c>
      <c r="T3" s="2" t="s">
        <v>125</v>
      </c>
      <c r="U3" s="1" t="s">
        <v>127</v>
      </c>
      <c r="V3" s="1" t="s">
        <v>128</v>
      </c>
      <c r="W3" s="2">
        <v>2018.0</v>
      </c>
      <c r="X3" s="2">
        <v>2022.0</v>
      </c>
    </row>
    <row r="4" ht="17.25" customHeight="1">
      <c r="A4" s="1">
        <v>3.0</v>
      </c>
      <c r="B4" s="1" t="s">
        <v>38</v>
      </c>
      <c r="C4" s="1" t="s">
        <v>130</v>
      </c>
      <c r="D4" s="1" t="s">
        <v>131</v>
      </c>
      <c r="E4" s="1" t="s">
        <v>60</v>
      </c>
      <c r="F4" s="1" t="s">
        <v>132</v>
      </c>
      <c r="G4" s="4" t="s">
        <v>134</v>
      </c>
      <c r="H4" s="1" t="s">
        <v>135</v>
      </c>
      <c r="I4" s="1"/>
      <c r="J4" s="1" t="s">
        <v>136</v>
      </c>
      <c r="K4" s="1" t="s">
        <v>46</v>
      </c>
      <c r="L4" s="1" t="s">
        <v>138</v>
      </c>
      <c r="M4" s="1" t="s">
        <v>138</v>
      </c>
      <c r="N4" s="10" t="s">
        <v>140</v>
      </c>
      <c r="O4" s="1" t="s">
        <v>162</v>
      </c>
      <c r="P4" s="1" t="s">
        <v>165</v>
      </c>
      <c r="Q4" s="1" t="s">
        <v>77</v>
      </c>
      <c r="R4" s="1" t="s">
        <v>167</v>
      </c>
      <c r="S4" s="11" t="s">
        <v>169</v>
      </c>
      <c r="T4" s="1" t="s">
        <v>80</v>
      </c>
      <c r="U4" s="1" t="s">
        <v>80</v>
      </c>
      <c r="V4" s="1" t="s">
        <v>94</v>
      </c>
      <c r="W4" s="1">
        <v>1990.0</v>
      </c>
      <c r="X4" s="1">
        <v>2000.0</v>
      </c>
    </row>
    <row r="5">
      <c r="A5" s="1">
        <v>4.0</v>
      </c>
      <c r="B5" s="1" t="s">
        <v>38</v>
      </c>
      <c r="C5" s="1" t="s">
        <v>130</v>
      </c>
      <c r="D5" s="1" t="s">
        <v>131</v>
      </c>
      <c r="E5" s="1" t="s">
        <v>60</v>
      </c>
      <c r="F5" s="1" t="s">
        <v>176</v>
      </c>
      <c r="G5" s="4" t="s">
        <v>177</v>
      </c>
      <c r="H5" s="1"/>
      <c r="I5" s="1" t="s">
        <v>101</v>
      </c>
      <c r="J5" s="1" t="s">
        <v>181</v>
      </c>
      <c r="K5" s="1" t="s">
        <v>46</v>
      </c>
      <c r="L5" s="1" t="s">
        <v>47</v>
      </c>
      <c r="M5" s="2" t="s">
        <v>49</v>
      </c>
      <c r="N5" s="8" t="s">
        <v>185</v>
      </c>
      <c r="O5" s="1" t="s">
        <v>201</v>
      </c>
      <c r="P5" s="1" t="s">
        <v>203</v>
      </c>
      <c r="Q5" s="1" t="s">
        <v>77</v>
      </c>
      <c r="R5" s="1" t="s">
        <v>167</v>
      </c>
      <c r="S5" s="11" t="s">
        <v>169</v>
      </c>
      <c r="T5" s="1" t="s">
        <v>80</v>
      </c>
      <c r="U5" s="1" t="s">
        <v>80</v>
      </c>
      <c r="V5" s="1" t="s">
        <v>81</v>
      </c>
      <c r="W5" s="1">
        <v>2015.0</v>
      </c>
      <c r="X5" s="1">
        <v>2015.0</v>
      </c>
    </row>
    <row r="6">
      <c r="A6" s="1">
        <v>5.0</v>
      </c>
      <c r="B6" s="1" t="s">
        <v>38</v>
      </c>
      <c r="C6" s="1" t="s">
        <v>130</v>
      </c>
      <c r="D6" s="1" t="s">
        <v>131</v>
      </c>
      <c r="E6" s="1" t="s">
        <v>60</v>
      </c>
      <c r="F6" s="1" t="s">
        <v>207</v>
      </c>
      <c r="G6" s="4" t="s">
        <v>208</v>
      </c>
      <c r="J6" s="1" t="s">
        <v>193</v>
      </c>
      <c r="K6" s="1" t="s">
        <v>46</v>
      </c>
      <c r="L6" s="1" t="s">
        <v>209</v>
      </c>
      <c r="N6" s="8" t="s">
        <v>211</v>
      </c>
      <c r="O6" s="1" t="s">
        <v>214</v>
      </c>
      <c r="P6" s="1" t="s">
        <v>215</v>
      </c>
      <c r="R6" s="1" t="s">
        <v>216</v>
      </c>
      <c r="S6" s="11" t="s">
        <v>217</v>
      </c>
      <c r="T6" s="1" t="s">
        <v>218</v>
      </c>
      <c r="U6" s="1" t="s">
        <v>218</v>
      </c>
      <c r="V6" s="1" t="s">
        <v>81</v>
      </c>
      <c r="W6" s="1">
        <v>2023.0</v>
      </c>
      <c r="X6" s="1">
        <v>2023.0</v>
      </c>
    </row>
    <row r="7">
      <c r="A7" s="1">
        <v>6.0</v>
      </c>
      <c r="B7" s="1" t="s">
        <v>38</v>
      </c>
      <c r="C7" s="1" t="s">
        <v>222</v>
      </c>
      <c r="D7" s="1" t="s">
        <v>40</v>
      </c>
      <c r="E7" s="1" t="s">
        <v>60</v>
      </c>
      <c r="F7" s="1" t="s">
        <v>224</v>
      </c>
      <c r="G7" s="4" t="s">
        <v>226</v>
      </c>
      <c r="I7" s="1" t="s">
        <v>228</v>
      </c>
      <c r="K7" s="1" t="s">
        <v>46</v>
      </c>
      <c r="M7" s="2" t="s">
        <v>49</v>
      </c>
      <c r="N7" s="8" t="s">
        <v>231</v>
      </c>
      <c r="O7" s="1" t="s">
        <v>238</v>
      </c>
      <c r="P7" s="1" t="s">
        <v>239</v>
      </c>
      <c r="R7" s="1" t="s">
        <v>240</v>
      </c>
      <c r="S7" s="1" t="s">
        <v>87</v>
      </c>
      <c r="T7" s="1" t="s">
        <v>242</v>
      </c>
      <c r="U7" s="1" t="s">
        <v>244</v>
      </c>
      <c r="V7" s="1" t="s">
        <v>94</v>
      </c>
      <c r="W7" s="1">
        <v>2005.0</v>
      </c>
      <c r="X7" s="1">
        <v>2022.0</v>
      </c>
    </row>
    <row r="8" ht="15.0" customHeight="1">
      <c r="A8" s="1">
        <v>7.0</v>
      </c>
      <c r="B8" s="2" t="s">
        <v>38</v>
      </c>
      <c r="C8" s="1" t="s">
        <v>246</v>
      </c>
      <c r="D8" s="2" t="s">
        <v>40</v>
      </c>
      <c r="E8" s="1" t="s">
        <v>60</v>
      </c>
      <c r="F8" s="2" t="s">
        <v>249</v>
      </c>
      <c r="G8" s="3" t="s">
        <v>249</v>
      </c>
      <c r="H8" s="1" t="s">
        <v>250</v>
      </c>
      <c r="I8" s="1"/>
      <c r="J8" s="1" t="s">
        <v>174</v>
      </c>
      <c r="K8" s="2" t="s">
        <v>46</v>
      </c>
      <c r="L8" s="2" t="s">
        <v>105</v>
      </c>
      <c r="M8" s="2" t="s">
        <v>49</v>
      </c>
      <c r="N8" s="6" t="s">
        <v>251</v>
      </c>
      <c r="O8" s="1" t="s">
        <v>253</v>
      </c>
      <c r="P8" s="1" t="s">
        <v>255</v>
      </c>
      <c r="Q8" s="2" t="s">
        <v>77</v>
      </c>
      <c r="R8" s="1" t="s">
        <v>256</v>
      </c>
      <c r="S8" s="7" t="s">
        <v>257</v>
      </c>
      <c r="T8" s="2" t="s">
        <v>80</v>
      </c>
      <c r="U8" s="2" t="s">
        <v>80</v>
      </c>
      <c r="V8" s="2" t="s">
        <v>94</v>
      </c>
      <c r="W8" s="2">
        <v>1960.0</v>
      </c>
      <c r="X8" s="1">
        <v>2020.0</v>
      </c>
    </row>
    <row r="9">
      <c r="A9" s="1">
        <v>8.0</v>
      </c>
      <c r="B9" s="2" t="s">
        <v>38</v>
      </c>
      <c r="C9" s="1" t="s">
        <v>246</v>
      </c>
      <c r="D9" s="2" t="s">
        <v>40</v>
      </c>
      <c r="E9" s="1" t="s">
        <v>60</v>
      </c>
      <c r="F9" s="1" t="s">
        <v>261</v>
      </c>
      <c r="G9" s="4" t="s">
        <v>262</v>
      </c>
      <c r="H9" s="1" t="s">
        <v>264</v>
      </c>
      <c r="I9" s="1" t="s">
        <v>71</v>
      </c>
      <c r="K9" s="1" t="s">
        <v>46</v>
      </c>
      <c r="L9" s="1" t="s">
        <v>265</v>
      </c>
      <c r="M9" s="2" t="s">
        <v>49</v>
      </c>
      <c r="N9" s="8" t="s">
        <v>266</v>
      </c>
      <c r="O9" s="1" t="s">
        <v>268</v>
      </c>
      <c r="P9" s="12" t="s">
        <v>271</v>
      </c>
      <c r="R9" s="1" t="s">
        <v>240</v>
      </c>
      <c r="S9" s="1" t="s">
        <v>87</v>
      </c>
      <c r="T9" s="1" t="s">
        <v>242</v>
      </c>
      <c r="U9" s="1" t="s">
        <v>281</v>
      </c>
      <c r="V9" s="1" t="s">
        <v>94</v>
      </c>
      <c r="W9" s="1">
        <v>1985.0</v>
      </c>
      <c r="X9" s="1">
        <v>2025.0</v>
      </c>
    </row>
    <row r="10">
      <c r="A10" s="1">
        <v>9.0</v>
      </c>
      <c r="B10" s="2" t="s">
        <v>38</v>
      </c>
      <c r="C10" s="1" t="s">
        <v>246</v>
      </c>
      <c r="D10" s="2" t="s">
        <v>40</v>
      </c>
      <c r="E10" s="1" t="s">
        <v>60</v>
      </c>
      <c r="F10" s="2" t="s">
        <v>282</v>
      </c>
      <c r="G10" s="3" t="s">
        <v>282</v>
      </c>
      <c r="H10" s="1" t="s">
        <v>283</v>
      </c>
      <c r="I10" s="1"/>
      <c r="J10" s="1" t="s">
        <v>284</v>
      </c>
      <c r="K10" s="2" t="s">
        <v>46</v>
      </c>
      <c r="L10" s="2" t="s">
        <v>285</v>
      </c>
      <c r="M10" s="2" t="s">
        <v>49</v>
      </c>
      <c r="N10" s="6" t="s">
        <v>286</v>
      </c>
      <c r="O10" s="1" t="s">
        <v>287</v>
      </c>
      <c r="P10" s="1" t="s">
        <v>288</v>
      </c>
      <c r="Q10" s="2" t="s">
        <v>289</v>
      </c>
      <c r="R10" s="1" t="s">
        <v>290</v>
      </c>
      <c r="S10" s="7" t="s">
        <v>291</v>
      </c>
      <c r="T10" s="2" t="s">
        <v>80</v>
      </c>
      <c r="U10" s="2" t="s">
        <v>80</v>
      </c>
      <c r="V10" s="2" t="s">
        <v>94</v>
      </c>
      <c r="W10" s="2">
        <v>850.0</v>
      </c>
      <c r="X10" s="2">
        <v>2100.0</v>
      </c>
      <c r="Y10" s="2" t="s">
        <v>293</v>
      </c>
    </row>
    <row r="11">
      <c r="A11" s="1">
        <v>10.0</v>
      </c>
      <c r="B11" s="2" t="s">
        <v>38</v>
      </c>
      <c r="C11" s="1" t="s">
        <v>246</v>
      </c>
      <c r="D11" s="2" t="s">
        <v>40</v>
      </c>
      <c r="E11" s="1" t="s">
        <v>60</v>
      </c>
      <c r="F11" s="2" t="s">
        <v>296</v>
      </c>
      <c r="G11" s="3" t="s">
        <v>297</v>
      </c>
      <c r="H11" s="1" t="s">
        <v>298</v>
      </c>
      <c r="I11" s="1"/>
      <c r="J11" s="1" t="s">
        <v>300</v>
      </c>
      <c r="K11" s="2" t="s">
        <v>46</v>
      </c>
      <c r="L11" s="2" t="s">
        <v>301</v>
      </c>
      <c r="M11" s="2" t="s">
        <v>49</v>
      </c>
      <c r="N11" s="6" t="s">
        <v>302</v>
      </c>
      <c r="O11" s="1" t="s">
        <v>304</v>
      </c>
      <c r="P11" s="1" t="s">
        <v>305</v>
      </c>
      <c r="Q11" s="2" t="s">
        <v>306</v>
      </c>
      <c r="R11" s="1" t="s">
        <v>307</v>
      </c>
      <c r="S11" s="7" t="s">
        <v>308</v>
      </c>
      <c r="T11" s="2" t="s">
        <v>80</v>
      </c>
      <c r="U11" s="2" t="s">
        <v>80</v>
      </c>
      <c r="V11" s="2" t="s">
        <v>65</v>
      </c>
      <c r="W11" s="2">
        <v>-10000.0</v>
      </c>
      <c r="X11" s="2">
        <v>2025.0</v>
      </c>
    </row>
    <row r="12">
      <c r="A12" s="1">
        <v>11.0</v>
      </c>
      <c r="B12" s="2" t="s">
        <v>38</v>
      </c>
      <c r="C12" s="1" t="s">
        <v>246</v>
      </c>
      <c r="D12" s="2" t="s">
        <v>40</v>
      </c>
      <c r="E12" s="1" t="s">
        <v>60</v>
      </c>
      <c r="F12" s="2" t="s">
        <v>313</v>
      </c>
      <c r="G12" s="3" t="s">
        <v>314</v>
      </c>
      <c r="H12" s="1" t="s">
        <v>315</v>
      </c>
      <c r="I12" s="1"/>
      <c r="J12" s="1" t="s">
        <v>164</v>
      </c>
      <c r="K12" s="2" t="s">
        <v>46</v>
      </c>
      <c r="L12" s="2" t="s">
        <v>230</v>
      </c>
      <c r="M12" s="2" t="s">
        <v>97</v>
      </c>
      <c r="N12" s="6" t="s">
        <v>316</v>
      </c>
      <c r="O12" s="1" t="s">
        <v>323</v>
      </c>
      <c r="P12" s="1" t="s">
        <v>324</v>
      </c>
      <c r="Q12" s="2" t="s">
        <v>325</v>
      </c>
      <c r="R12" s="1" t="s">
        <v>256</v>
      </c>
      <c r="S12" s="7" t="s">
        <v>257</v>
      </c>
      <c r="T12" s="2" t="s">
        <v>80</v>
      </c>
      <c r="U12" s="2" t="s">
        <v>80</v>
      </c>
      <c r="V12" s="2" t="s">
        <v>269</v>
      </c>
      <c r="W12" s="2">
        <v>1700.0</v>
      </c>
      <c r="X12" s="2">
        <v>2000.0</v>
      </c>
    </row>
    <row r="13">
      <c r="A13" s="1">
        <v>12.0</v>
      </c>
      <c r="B13" s="1" t="s">
        <v>38</v>
      </c>
      <c r="C13" s="1" t="s">
        <v>246</v>
      </c>
      <c r="D13" s="1" t="s">
        <v>40</v>
      </c>
      <c r="E13" s="1" t="s">
        <v>60</v>
      </c>
      <c r="F13" s="1" t="s">
        <v>330</v>
      </c>
      <c r="G13" s="4" t="s">
        <v>332</v>
      </c>
      <c r="I13" s="1" t="s">
        <v>71</v>
      </c>
      <c r="K13" s="1" t="s">
        <v>46</v>
      </c>
      <c r="M13" s="2" t="s">
        <v>49</v>
      </c>
      <c r="N13" s="10" t="s">
        <v>333</v>
      </c>
      <c r="O13" s="1" t="s">
        <v>338</v>
      </c>
      <c r="P13" s="1" t="s">
        <v>339</v>
      </c>
      <c r="Q13" s="1" t="s">
        <v>77</v>
      </c>
      <c r="R13" s="1" t="s">
        <v>240</v>
      </c>
      <c r="S13" s="1" t="s">
        <v>87</v>
      </c>
      <c r="T13" s="1" t="s">
        <v>340</v>
      </c>
      <c r="U13" s="1" t="s">
        <v>340</v>
      </c>
      <c r="V13" s="1" t="s">
        <v>94</v>
      </c>
      <c r="W13" s="1">
        <v>1985.0</v>
      </c>
      <c r="X13" s="1">
        <v>2022.0</v>
      </c>
      <c r="Y13" s="1" t="s">
        <v>341</v>
      </c>
    </row>
    <row r="14">
      <c r="A14" s="1">
        <v>13.0</v>
      </c>
      <c r="B14" s="1" t="s">
        <v>38</v>
      </c>
      <c r="C14" s="1" t="s">
        <v>246</v>
      </c>
      <c r="D14" s="1" t="s">
        <v>40</v>
      </c>
      <c r="E14" s="1" t="s">
        <v>60</v>
      </c>
      <c r="F14" s="1" t="s">
        <v>342</v>
      </c>
      <c r="G14" s="4" t="s">
        <v>343</v>
      </c>
      <c r="I14" s="1" t="s">
        <v>344</v>
      </c>
      <c r="K14" s="1" t="s">
        <v>46</v>
      </c>
      <c r="L14" s="1" t="s">
        <v>345</v>
      </c>
      <c r="M14" s="2" t="s">
        <v>49</v>
      </c>
      <c r="N14" s="8" t="s">
        <v>348</v>
      </c>
      <c r="O14" s="1" t="s">
        <v>354</v>
      </c>
      <c r="P14" s="1" t="s">
        <v>356</v>
      </c>
      <c r="Q14" s="1" t="s">
        <v>77</v>
      </c>
      <c r="R14" s="1" t="s">
        <v>86</v>
      </c>
      <c r="S14" s="1" t="s">
        <v>87</v>
      </c>
      <c r="T14" s="1" t="s">
        <v>218</v>
      </c>
      <c r="U14" s="1" t="s">
        <v>218</v>
      </c>
      <c r="V14" s="1" t="s">
        <v>94</v>
      </c>
      <c r="W14" s="1">
        <v>1988.0</v>
      </c>
      <c r="X14" s="1">
        <v>2025.0</v>
      </c>
    </row>
    <row r="15">
      <c r="A15" s="1">
        <v>14.0</v>
      </c>
      <c r="B15" s="1" t="s">
        <v>38</v>
      </c>
      <c r="C15" s="1" t="s">
        <v>246</v>
      </c>
      <c r="D15" s="1" t="s">
        <v>40</v>
      </c>
      <c r="E15" s="1" t="s">
        <v>60</v>
      </c>
      <c r="F15" s="1" t="s">
        <v>357</v>
      </c>
      <c r="G15" s="4" t="s">
        <v>358</v>
      </c>
      <c r="I15" s="1" t="s">
        <v>359</v>
      </c>
      <c r="K15" s="1" t="s">
        <v>46</v>
      </c>
      <c r="M15" s="2" t="s">
        <v>49</v>
      </c>
      <c r="N15" s="8" t="s">
        <v>360</v>
      </c>
      <c r="O15" s="1" t="s">
        <v>366</v>
      </c>
      <c r="P15" s="1" t="s">
        <v>367</v>
      </c>
      <c r="Q15" s="1" t="s">
        <v>77</v>
      </c>
      <c r="R15" s="1" t="s">
        <v>368</v>
      </c>
      <c r="S15" s="1" t="s">
        <v>369</v>
      </c>
      <c r="T15" s="1" t="s">
        <v>242</v>
      </c>
      <c r="U15" s="1" t="s">
        <v>244</v>
      </c>
      <c r="V15" s="1" t="s">
        <v>370</v>
      </c>
      <c r="W15" s="1">
        <v>1985.0</v>
      </c>
      <c r="X15" s="1">
        <v>2005.0</v>
      </c>
    </row>
    <row r="16">
      <c r="A16" s="1">
        <v>15.0</v>
      </c>
      <c r="B16" s="1" t="s">
        <v>38</v>
      </c>
      <c r="C16" s="1" t="s">
        <v>246</v>
      </c>
      <c r="D16" s="1" t="s">
        <v>40</v>
      </c>
      <c r="E16" s="1" t="s">
        <v>60</v>
      </c>
      <c r="F16" s="1" t="s">
        <v>371</v>
      </c>
      <c r="G16" s="4" t="s">
        <v>372</v>
      </c>
      <c r="I16" s="1" t="s">
        <v>137</v>
      </c>
      <c r="K16" s="1" t="s">
        <v>46</v>
      </c>
      <c r="M16" s="2" t="s">
        <v>49</v>
      </c>
      <c r="N16" s="8" t="s">
        <v>377</v>
      </c>
      <c r="O16" s="1" t="s">
        <v>379</v>
      </c>
      <c r="P16" s="1" t="s">
        <v>381</v>
      </c>
      <c r="Q16" s="1" t="s">
        <v>77</v>
      </c>
      <c r="R16" s="1" t="s">
        <v>78</v>
      </c>
      <c r="S16" s="1" t="s">
        <v>79</v>
      </c>
      <c r="T16" s="1" t="s">
        <v>80</v>
      </c>
      <c r="U16" s="1" t="s">
        <v>80</v>
      </c>
      <c r="V16" s="1" t="s">
        <v>94</v>
      </c>
      <c r="W16" s="1">
        <v>2015.0</v>
      </c>
      <c r="X16" s="1">
        <v>2026.0</v>
      </c>
    </row>
    <row r="17">
      <c r="A17" s="1">
        <v>16.0</v>
      </c>
      <c r="B17" s="1" t="s">
        <v>38</v>
      </c>
      <c r="C17" s="1" t="s">
        <v>39</v>
      </c>
      <c r="D17" s="1" t="s">
        <v>131</v>
      </c>
      <c r="E17" s="1" t="s">
        <v>385</v>
      </c>
      <c r="F17" s="1" t="s">
        <v>386</v>
      </c>
      <c r="G17" s="4" t="s">
        <v>388</v>
      </c>
      <c r="H17" s="1" t="s">
        <v>390</v>
      </c>
      <c r="I17" s="1" t="s">
        <v>391</v>
      </c>
      <c r="K17" s="1" t="s">
        <v>46</v>
      </c>
      <c r="N17" s="8" t="s">
        <v>393</v>
      </c>
      <c r="O17" s="1" t="s">
        <v>394</v>
      </c>
      <c r="P17" s="1" t="s">
        <v>396</v>
      </c>
      <c r="Q17" s="1" t="s">
        <v>77</v>
      </c>
      <c r="R17" s="1" t="s">
        <v>240</v>
      </c>
      <c r="S17" s="11" t="s">
        <v>87</v>
      </c>
      <c r="T17" s="1" t="s">
        <v>80</v>
      </c>
      <c r="U17" s="1" t="s">
        <v>80</v>
      </c>
      <c r="V17" s="1" t="s">
        <v>269</v>
      </c>
      <c r="W17" s="1">
        <v>2010.0</v>
      </c>
      <c r="X17" s="1">
        <v>2020.0</v>
      </c>
      <c r="Y17" s="1" t="s">
        <v>399</v>
      </c>
    </row>
    <row r="18">
      <c r="A18" s="1">
        <v>17.0</v>
      </c>
      <c r="B18" s="2" t="s">
        <v>38</v>
      </c>
      <c r="C18" s="1" t="s">
        <v>39</v>
      </c>
      <c r="D18" s="1" t="s">
        <v>59</v>
      </c>
      <c r="E18" s="1" t="s">
        <v>385</v>
      </c>
      <c r="F18" s="1" t="s">
        <v>88</v>
      </c>
      <c r="G18" s="4" t="s">
        <v>89</v>
      </c>
      <c r="H18" s="1" t="s">
        <v>404</v>
      </c>
      <c r="I18" s="1" t="s">
        <v>406</v>
      </c>
      <c r="J18" s="1" t="s">
        <v>193</v>
      </c>
      <c r="K18" s="2" t="s">
        <v>46</v>
      </c>
      <c r="L18" s="2" t="s">
        <v>95</v>
      </c>
      <c r="M18" s="2" t="s">
        <v>97</v>
      </c>
      <c r="N18" s="6" t="s">
        <v>98</v>
      </c>
      <c r="O18" s="1" t="s">
        <v>411</v>
      </c>
      <c r="P18" s="1" t="s">
        <v>412</v>
      </c>
      <c r="Q18" s="2" t="s">
        <v>77</v>
      </c>
      <c r="R18" s="1" t="s">
        <v>86</v>
      </c>
      <c r="S18" s="7" t="s">
        <v>87</v>
      </c>
      <c r="T18" s="1" t="s">
        <v>92</v>
      </c>
      <c r="U18" s="1" t="s">
        <v>196</v>
      </c>
      <c r="V18" s="2" t="s">
        <v>94</v>
      </c>
      <c r="W18" s="1">
        <v>2008.0</v>
      </c>
      <c r="X18" s="1">
        <v>2025.0</v>
      </c>
      <c r="Y18" s="1" t="s">
        <v>418</v>
      </c>
    </row>
    <row r="19">
      <c r="A19" s="1">
        <v>18.0</v>
      </c>
      <c r="B19" s="2" t="s">
        <v>38</v>
      </c>
      <c r="C19" s="1" t="s">
        <v>39</v>
      </c>
      <c r="D19" s="1" t="s">
        <v>59</v>
      </c>
      <c r="E19" s="1" t="s">
        <v>385</v>
      </c>
      <c r="F19" s="1" t="s">
        <v>424</v>
      </c>
      <c r="G19" s="4" t="s">
        <v>425</v>
      </c>
      <c r="H19" s="1"/>
      <c r="I19" s="1"/>
      <c r="J19" s="1"/>
      <c r="K19" s="1" t="s">
        <v>46</v>
      </c>
      <c r="L19" s="1" t="s">
        <v>65</v>
      </c>
      <c r="N19" s="6" t="s">
        <v>299</v>
      </c>
      <c r="O19" s="1" t="s">
        <v>428</v>
      </c>
      <c r="P19" s="1" t="s">
        <v>430</v>
      </c>
      <c r="Q19" s="2" t="s">
        <v>413</v>
      </c>
      <c r="R19" s="1" t="s">
        <v>431</v>
      </c>
      <c r="S19" s="11" t="s">
        <v>432</v>
      </c>
      <c r="T19" s="2" t="s">
        <v>125</v>
      </c>
      <c r="U19" s="1" t="s">
        <v>127</v>
      </c>
      <c r="V19" s="2" t="s">
        <v>94</v>
      </c>
      <c r="W19" s="2">
        <v>1980.0</v>
      </c>
      <c r="X19" s="1">
        <v>2022.0</v>
      </c>
    </row>
    <row r="20">
      <c r="A20" s="1">
        <v>19.0</v>
      </c>
      <c r="B20" s="2" t="s">
        <v>38</v>
      </c>
      <c r="C20" s="1" t="s">
        <v>39</v>
      </c>
      <c r="D20" s="1" t="s">
        <v>59</v>
      </c>
      <c r="E20" s="1" t="s">
        <v>385</v>
      </c>
      <c r="F20" s="2" t="s">
        <v>189</v>
      </c>
      <c r="G20" s="3" t="s">
        <v>189</v>
      </c>
      <c r="H20" s="1" t="s">
        <v>437</v>
      </c>
      <c r="I20" s="1" t="s">
        <v>438</v>
      </c>
      <c r="J20" s="1" t="s">
        <v>439</v>
      </c>
      <c r="K20" s="2" t="s">
        <v>46</v>
      </c>
      <c r="L20" s="2" t="s">
        <v>47</v>
      </c>
      <c r="M20" s="2" t="s">
        <v>49</v>
      </c>
      <c r="N20" s="8" t="s">
        <v>440</v>
      </c>
      <c r="O20" s="1" t="s">
        <v>441</v>
      </c>
      <c r="P20" s="1" t="s">
        <v>442</v>
      </c>
      <c r="Q20" s="2" t="s">
        <v>77</v>
      </c>
      <c r="R20" s="1" t="s">
        <v>78</v>
      </c>
      <c r="S20" s="7" t="s">
        <v>79</v>
      </c>
      <c r="T20" s="2" t="s">
        <v>80</v>
      </c>
      <c r="U20" s="2" t="s">
        <v>80</v>
      </c>
      <c r="V20" s="2" t="s">
        <v>81</v>
      </c>
      <c r="W20" s="1">
        <v>2021.0</v>
      </c>
      <c r="X20" s="1">
        <v>2021.0</v>
      </c>
    </row>
    <row r="21">
      <c r="A21" s="1">
        <v>20.0</v>
      </c>
      <c r="B21" s="1" t="s">
        <v>38</v>
      </c>
      <c r="C21" s="1" t="s">
        <v>39</v>
      </c>
      <c r="D21" s="1" t="s">
        <v>59</v>
      </c>
      <c r="E21" s="1" t="s">
        <v>385</v>
      </c>
      <c r="F21" s="1" t="s">
        <v>447</v>
      </c>
      <c r="G21" s="4" t="s">
        <v>447</v>
      </c>
      <c r="H21" s="1" t="s">
        <v>448</v>
      </c>
      <c r="I21" s="1"/>
      <c r="J21" s="1" t="s">
        <v>449</v>
      </c>
      <c r="K21" s="1" t="s">
        <v>46</v>
      </c>
      <c r="L21" s="1" t="s">
        <v>445</v>
      </c>
      <c r="M21" s="2" t="s">
        <v>49</v>
      </c>
      <c r="N21" s="8" t="s">
        <v>450</v>
      </c>
      <c r="O21" s="1" t="s">
        <v>453</v>
      </c>
      <c r="P21" s="1" t="s">
        <v>455</v>
      </c>
      <c r="Q21" s="1" t="s">
        <v>77</v>
      </c>
      <c r="R21" s="1" t="s">
        <v>254</v>
      </c>
      <c r="S21" s="11" t="s">
        <v>457</v>
      </c>
      <c r="T21" s="1" t="s">
        <v>80</v>
      </c>
      <c r="U21" s="1" t="s">
        <v>80</v>
      </c>
      <c r="V21" s="1" t="s">
        <v>81</v>
      </c>
      <c r="W21" s="1">
        <v>2020.0</v>
      </c>
      <c r="X21" s="1">
        <v>2020.0</v>
      </c>
    </row>
    <row r="22">
      <c r="A22" s="1">
        <v>21.0</v>
      </c>
      <c r="B22" s="1" t="s">
        <v>38</v>
      </c>
      <c r="C22" s="1" t="s">
        <v>39</v>
      </c>
      <c r="D22" s="1" t="s">
        <v>59</v>
      </c>
      <c r="E22" s="1" t="s">
        <v>385</v>
      </c>
      <c r="F22" s="1" t="s">
        <v>459</v>
      </c>
      <c r="G22" s="4" t="s">
        <v>460</v>
      </c>
      <c r="H22" s="1" t="s">
        <v>461</v>
      </c>
      <c r="I22" s="1" t="s">
        <v>101</v>
      </c>
      <c r="J22" s="1" t="s">
        <v>462</v>
      </c>
      <c r="K22" s="1" t="s">
        <v>46</v>
      </c>
      <c r="L22" s="1" t="s">
        <v>95</v>
      </c>
      <c r="M22" s="1" t="s">
        <v>49</v>
      </c>
      <c r="N22" s="8" t="s">
        <v>463</v>
      </c>
      <c r="O22" s="1" t="s">
        <v>470</v>
      </c>
      <c r="P22" s="1" t="s">
        <v>472</v>
      </c>
      <c r="Q22" s="2" t="s">
        <v>77</v>
      </c>
      <c r="R22" s="1" t="s">
        <v>167</v>
      </c>
      <c r="S22" s="11" t="s">
        <v>169</v>
      </c>
      <c r="T22" s="1" t="s">
        <v>80</v>
      </c>
      <c r="U22" s="1" t="s">
        <v>80</v>
      </c>
      <c r="V22" s="1" t="s">
        <v>81</v>
      </c>
      <c r="W22" s="1">
        <v>2000.0</v>
      </c>
      <c r="X22" s="1">
        <v>2000.0</v>
      </c>
    </row>
    <row r="23">
      <c r="A23" s="1">
        <v>22.0</v>
      </c>
      <c r="B23" s="1" t="s">
        <v>38</v>
      </c>
      <c r="C23" s="1" t="s">
        <v>39</v>
      </c>
      <c r="D23" s="1" t="s">
        <v>59</v>
      </c>
      <c r="E23" s="1" t="s">
        <v>385</v>
      </c>
      <c r="F23" s="1" t="s">
        <v>473</v>
      </c>
      <c r="G23" s="4" t="s">
        <v>171</v>
      </c>
      <c r="J23" s="1" t="s">
        <v>193</v>
      </c>
      <c r="K23" s="1" t="s">
        <v>474</v>
      </c>
      <c r="M23" s="1" t="s">
        <v>49</v>
      </c>
      <c r="N23" s="8" t="s">
        <v>475</v>
      </c>
      <c r="O23" s="1" t="s">
        <v>482</v>
      </c>
      <c r="P23" s="1" t="s">
        <v>483</v>
      </c>
      <c r="Q23" s="1" t="s">
        <v>234</v>
      </c>
      <c r="R23" s="1" t="s">
        <v>235</v>
      </c>
      <c r="S23" s="11" t="s">
        <v>484</v>
      </c>
      <c r="T23" s="1" t="s">
        <v>125</v>
      </c>
      <c r="U23" s="1" t="s">
        <v>127</v>
      </c>
      <c r="V23" s="1" t="s">
        <v>81</v>
      </c>
      <c r="W23" s="1">
        <v>2019.0</v>
      </c>
      <c r="X23" s="1">
        <v>2023.0</v>
      </c>
    </row>
    <row r="24" ht="15.75" customHeight="1">
      <c r="A24" s="1">
        <v>23.0</v>
      </c>
      <c r="B24" s="1" t="s">
        <v>38</v>
      </c>
      <c r="C24" s="1" t="s">
        <v>39</v>
      </c>
      <c r="D24" s="1" t="s">
        <v>59</v>
      </c>
      <c r="E24" s="1" t="s">
        <v>385</v>
      </c>
      <c r="F24" s="1" t="s">
        <v>485</v>
      </c>
      <c r="G24" s="4" t="s">
        <v>161</v>
      </c>
      <c r="H24" s="1" t="s">
        <v>486</v>
      </c>
      <c r="I24" s="1"/>
      <c r="J24" s="1"/>
      <c r="K24" s="1" t="s">
        <v>474</v>
      </c>
      <c r="M24" s="1" t="s">
        <v>49</v>
      </c>
      <c r="N24" s="8" t="s">
        <v>488</v>
      </c>
      <c r="O24" s="1" t="s">
        <v>492</v>
      </c>
      <c r="P24" s="1" t="s">
        <v>493</v>
      </c>
      <c r="Q24" s="1" t="s">
        <v>234</v>
      </c>
      <c r="R24" s="1" t="s">
        <v>235</v>
      </c>
      <c r="S24" s="11" t="s">
        <v>484</v>
      </c>
      <c r="T24" s="1" t="s">
        <v>80</v>
      </c>
      <c r="U24" s="1" t="s">
        <v>80</v>
      </c>
      <c r="V24" s="1" t="s">
        <v>494</v>
      </c>
      <c r="W24" s="1">
        <v>2000.0</v>
      </c>
      <c r="X24" s="1">
        <v>2020.0</v>
      </c>
    </row>
    <row r="25">
      <c r="A25" s="1">
        <v>24.0</v>
      </c>
      <c r="B25" s="1" t="s">
        <v>38</v>
      </c>
      <c r="C25" s="1" t="s">
        <v>39</v>
      </c>
      <c r="D25" s="1" t="s">
        <v>59</v>
      </c>
      <c r="E25" s="1" t="s">
        <v>385</v>
      </c>
      <c r="F25" s="1" t="s">
        <v>495</v>
      </c>
      <c r="G25" s="4" t="s">
        <v>496</v>
      </c>
      <c r="I25" s="1" t="s">
        <v>497</v>
      </c>
      <c r="K25" s="1" t="s">
        <v>46</v>
      </c>
      <c r="M25" s="1" t="s">
        <v>49</v>
      </c>
      <c r="N25" s="8" t="s">
        <v>498</v>
      </c>
      <c r="O25" s="1" t="s">
        <v>503</v>
      </c>
      <c r="P25" s="1" t="s">
        <v>504</v>
      </c>
      <c r="Q25" s="1" t="s">
        <v>77</v>
      </c>
      <c r="R25" s="1" t="s">
        <v>86</v>
      </c>
      <c r="S25" s="11" t="s">
        <v>87</v>
      </c>
      <c r="T25" s="1" t="s">
        <v>340</v>
      </c>
      <c r="U25" s="1" t="s">
        <v>505</v>
      </c>
      <c r="V25" s="1" t="s">
        <v>94</v>
      </c>
      <c r="W25" s="1">
        <v>2018.0</v>
      </c>
      <c r="X25" s="1">
        <v>2024.0</v>
      </c>
    </row>
    <row r="26">
      <c r="A26" s="1">
        <v>25.0</v>
      </c>
      <c r="B26" s="1" t="s">
        <v>38</v>
      </c>
      <c r="C26" s="1" t="s">
        <v>39</v>
      </c>
      <c r="D26" s="1" t="s">
        <v>131</v>
      </c>
      <c r="E26" s="1" t="s">
        <v>385</v>
      </c>
      <c r="F26" s="1" t="s">
        <v>506</v>
      </c>
      <c r="G26" s="4" t="s">
        <v>507</v>
      </c>
      <c r="H26" s="13" t="s">
        <v>508</v>
      </c>
      <c r="J26" s="1" t="s">
        <v>174</v>
      </c>
      <c r="K26" s="1" t="s">
        <v>46</v>
      </c>
      <c r="L26" s="1" t="s">
        <v>209</v>
      </c>
      <c r="M26" s="1" t="s">
        <v>97</v>
      </c>
      <c r="N26" s="8" t="s">
        <v>509</v>
      </c>
      <c r="O26" s="1" t="s">
        <v>519</v>
      </c>
      <c r="P26" s="1" t="s">
        <v>520</v>
      </c>
      <c r="Q26" s="1" t="s">
        <v>77</v>
      </c>
      <c r="R26" s="1" t="s">
        <v>522</v>
      </c>
      <c r="S26" s="11" t="s">
        <v>523</v>
      </c>
      <c r="T26" s="1" t="s">
        <v>80</v>
      </c>
      <c r="U26" s="1" t="s">
        <v>80</v>
      </c>
      <c r="V26" s="1" t="s">
        <v>81</v>
      </c>
      <c r="W26" s="1">
        <v>2010.0</v>
      </c>
      <c r="X26" s="1">
        <v>2010.0</v>
      </c>
    </row>
    <row r="27">
      <c r="A27" s="1">
        <v>26.0</v>
      </c>
      <c r="B27" s="1" t="s">
        <v>38</v>
      </c>
      <c r="C27" s="1" t="s">
        <v>39</v>
      </c>
      <c r="D27" s="1" t="s">
        <v>131</v>
      </c>
      <c r="E27" s="1" t="s">
        <v>385</v>
      </c>
      <c r="F27" s="1" t="s">
        <v>524</v>
      </c>
      <c r="G27" s="4" t="s">
        <v>525</v>
      </c>
      <c r="I27" s="1" t="s">
        <v>137</v>
      </c>
      <c r="K27" s="1" t="s">
        <v>46</v>
      </c>
      <c r="M27" s="2" t="s">
        <v>49</v>
      </c>
      <c r="N27" s="8" t="s">
        <v>526</v>
      </c>
      <c r="O27" s="1" t="s">
        <v>532</v>
      </c>
      <c r="P27" s="1" t="s">
        <v>533</v>
      </c>
      <c r="Q27" s="1" t="s">
        <v>77</v>
      </c>
      <c r="R27" s="1" t="s">
        <v>78</v>
      </c>
      <c r="S27" s="1" t="s">
        <v>79</v>
      </c>
      <c r="T27" s="1" t="s">
        <v>534</v>
      </c>
      <c r="U27" s="1" t="s">
        <v>534</v>
      </c>
      <c r="V27" s="1" t="s">
        <v>81</v>
      </c>
      <c r="W27" s="1">
        <v>2019.0</v>
      </c>
      <c r="X27" s="1">
        <v>2019.0</v>
      </c>
    </row>
    <row r="28">
      <c r="A28" s="1">
        <v>27.0</v>
      </c>
      <c r="B28" s="1" t="s">
        <v>38</v>
      </c>
      <c r="C28" s="1" t="s">
        <v>39</v>
      </c>
      <c r="D28" s="1" t="s">
        <v>40</v>
      </c>
      <c r="E28" s="1" t="s">
        <v>385</v>
      </c>
      <c r="F28" s="1" t="s">
        <v>535</v>
      </c>
      <c r="G28" s="4" t="s">
        <v>536</v>
      </c>
      <c r="H28" s="1" t="s">
        <v>538</v>
      </c>
      <c r="I28" s="1" t="s">
        <v>137</v>
      </c>
      <c r="J28" s="1" t="s">
        <v>539</v>
      </c>
      <c r="K28" s="1" t="s">
        <v>46</v>
      </c>
      <c r="N28" s="8" t="s">
        <v>540</v>
      </c>
      <c r="O28" s="1" t="s">
        <v>547</v>
      </c>
      <c r="P28" s="1" t="s">
        <v>548</v>
      </c>
      <c r="Q28" s="1" t="s">
        <v>77</v>
      </c>
      <c r="R28" s="1" t="s">
        <v>78</v>
      </c>
      <c r="S28" s="11" t="s">
        <v>79</v>
      </c>
      <c r="T28" s="1" t="s">
        <v>125</v>
      </c>
      <c r="U28" s="1" t="s">
        <v>127</v>
      </c>
      <c r="V28" s="1" t="s">
        <v>94</v>
      </c>
      <c r="W28" s="1">
        <v>2017.0</v>
      </c>
      <c r="X28" s="1">
        <v>2023.0</v>
      </c>
    </row>
    <row r="29" ht="15.75" customHeight="1">
      <c r="A29" s="1">
        <v>28.0</v>
      </c>
      <c r="B29" s="2" t="s">
        <v>38</v>
      </c>
      <c r="C29" s="1" t="s">
        <v>39</v>
      </c>
      <c r="D29" s="2" t="s">
        <v>40</v>
      </c>
      <c r="E29" s="1" t="s">
        <v>385</v>
      </c>
      <c r="F29" s="2" t="s">
        <v>119</v>
      </c>
      <c r="G29" s="4" t="s">
        <v>549</v>
      </c>
      <c r="H29" s="1" t="s">
        <v>388</v>
      </c>
      <c r="I29" s="1" t="s">
        <v>550</v>
      </c>
      <c r="J29" s="1"/>
      <c r="K29" s="2" t="s">
        <v>46</v>
      </c>
      <c r="L29" s="2" t="s">
        <v>95</v>
      </c>
      <c r="M29" s="2" t="s">
        <v>49</v>
      </c>
      <c r="N29" s="6" t="s">
        <v>126</v>
      </c>
      <c r="O29" s="1" t="s">
        <v>553</v>
      </c>
      <c r="P29" s="1" t="s">
        <v>554</v>
      </c>
      <c r="Q29" s="2" t="s">
        <v>77</v>
      </c>
      <c r="R29" s="1" t="s">
        <v>86</v>
      </c>
      <c r="S29" s="7" t="s">
        <v>87</v>
      </c>
      <c r="T29" s="2" t="s">
        <v>80</v>
      </c>
      <c r="U29" s="2" t="s">
        <v>80</v>
      </c>
      <c r="V29" s="2" t="s">
        <v>147</v>
      </c>
      <c r="W29" s="2">
        <v>2000.0</v>
      </c>
      <c r="X29" s="2">
        <v>2019.0</v>
      </c>
    </row>
    <row r="30">
      <c r="A30" s="1">
        <v>29.0</v>
      </c>
      <c r="B30" s="1" t="s">
        <v>38</v>
      </c>
      <c r="C30" s="1" t="s">
        <v>39</v>
      </c>
      <c r="D30" s="1" t="s">
        <v>40</v>
      </c>
      <c r="E30" s="1" t="s">
        <v>385</v>
      </c>
      <c r="F30" s="1" t="s">
        <v>558</v>
      </c>
      <c r="G30" s="4" t="s">
        <v>559</v>
      </c>
      <c r="H30" s="1" t="s">
        <v>561</v>
      </c>
      <c r="I30" s="1"/>
      <c r="J30" s="1" t="s">
        <v>136</v>
      </c>
      <c r="K30" s="1" t="s">
        <v>46</v>
      </c>
      <c r="L30" s="1" t="s">
        <v>563</v>
      </c>
      <c r="M30" s="1" t="s">
        <v>49</v>
      </c>
      <c r="N30" s="8" t="s">
        <v>564</v>
      </c>
      <c r="O30" s="1" t="s">
        <v>565</v>
      </c>
      <c r="P30" s="1" t="s">
        <v>566</v>
      </c>
      <c r="Q30" s="1" t="s">
        <v>567</v>
      </c>
      <c r="R30" s="1" t="s">
        <v>167</v>
      </c>
      <c r="S30" s="11" t="s">
        <v>169</v>
      </c>
      <c r="T30" s="1" t="s">
        <v>80</v>
      </c>
      <c r="U30" s="1" t="s">
        <v>80</v>
      </c>
      <c r="W30" s="1">
        <v>1700.0</v>
      </c>
      <c r="X30" s="1">
        <v>1992.0</v>
      </c>
    </row>
    <row r="31">
      <c r="A31" s="1">
        <v>30.0</v>
      </c>
      <c r="B31" s="1" t="s">
        <v>38</v>
      </c>
      <c r="C31" s="1" t="s">
        <v>39</v>
      </c>
      <c r="D31" s="1" t="s">
        <v>40</v>
      </c>
      <c r="E31" s="1" t="s">
        <v>385</v>
      </c>
      <c r="F31" s="1" t="s">
        <v>568</v>
      </c>
      <c r="G31" s="4" t="s">
        <v>569</v>
      </c>
      <c r="H31" s="1" t="s">
        <v>570</v>
      </c>
      <c r="I31" s="1" t="s">
        <v>137</v>
      </c>
      <c r="J31" s="1"/>
      <c r="K31" s="1" t="s">
        <v>46</v>
      </c>
      <c r="N31" s="8" t="s">
        <v>571</v>
      </c>
      <c r="O31" s="1" t="s">
        <v>573</v>
      </c>
      <c r="P31" s="1" t="s">
        <v>574</v>
      </c>
      <c r="R31" s="1" t="s">
        <v>575</v>
      </c>
      <c r="S31" s="11" t="s">
        <v>576</v>
      </c>
      <c r="T31" s="1" t="s">
        <v>80</v>
      </c>
      <c r="U31" s="1" t="s">
        <v>80</v>
      </c>
      <c r="V31" s="1" t="s">
        <v>94</v>
      </c>
      <c r="W31" s="1">
        <v>2000.0</v>
      </c>
      <c r="X31" s="1">
        <v>2017.0</v>
      </c>
      <c r="Y31" s="1" t="s">
        <v>577</v>
      </c>
    </row>
    <row r="32" ht="21.75" customHeight="1">
      <c r="A32" s="1">
        <v>31.0</v>
      </c>
      <c r="B32" s="1" t="s">
        <v>38</v>
      </c>
      <c r="C32" s="1" t="s">
        <v>39</v>
      </c>
      <c r="D32" s="1" t="s">
        <v>40</v>
      </c>
      <c r="E32" s="1" t="s">
        <v>385</v>
      </c>
      <c r="F32" s="1" t="s">
        <v>578</v>
      </c>
      <c r="G32" s="4" t="s">
        <v>579</v>
      </c>
      <c r="H32" s="1" t="s">
        <v>580</v>
      </c>
      <c r="I32" s="1" t="s">
        <v>581</v>
      </c>
      <c r="J32" s="1" t="s">
        <v>174</v>
      </c>
      <c r="K32" s="1" t="s">
        <v>46</v>
      </c>
      <c r="L32" s="1" t="s">
        <v>582</v>
      </c>
      <c r="M32" s="2" t="s">
        <v>49</v>
      </c>
      <c r="N32" s="8" t="s">
        <v>584</v>
      </c>
      <c r="O32" s="1" t="s">
        <v>589</v>
      </c>
      <c r="P32" s="1" t="s">
        <v>590</v>
      </c>
      <c r="Q32" s="1" t="s">
        <v>77</v>
      </c>
      <c r="R32" s="1" t="s">
        <v>78</v>
      </c>
      <c r="S32" s="1" t="s">
        <v>79</v>
      </c>
      <c r="T32" s="1" t="s">
        <v>242</v>
      </c>
      <c r="U32" s="1" t="s">
        <v>591</v>
      </c>
      <c r="V32" s="1" t="s">
        <v>94</v>
      </c>
      <c r="W32" s="1">
        <v>2019.0</v>
      </c>
      <c r="X32" s="1">
        <v>2025.0</v>
      </c>
    </row>
    <row r="33">
      <c r="A33" s="1">
        <v>32.0</v>
      </c>
      <c r="B33" s="2" t="s">
        <v>38</v>
      </c>
      <c r="C33" s="1" t="s">
        <v>39</v>
      </c>
      <c r="D33" s="2" t="s">
        <v>223</v>
      </c>
      <c r="E33" s="1" t="s">
        <v>592</v>
      </c>
      <c r="F33" s="2" t="s">
        <v>241</v>
      </c>
      <c r="G33" s="4" t="s">
        <v>243</v>
      </c>
      <c r="H33" s="1" t="s">
        <v>593</v>
      </c>
      <c r="I33" s="1"/>
      <c r="J33" s="1" t="s">
        <v>182</v>
      </c>
      <c r="K33" s="2" t="s">
        <v>46</v>
      </c>
      <c r="L33" s="2" t="s">
        <v>247</v>
      </c>
      <c r="M33" s="2" t="s">
        <v>49</v>
      </c>
      <c r="N33" s="8" t="s">
        <v>595</v>
      </c>
      <c r="O33" s="1" t="s">
        <v>596</v>
      </c>
      <c r="P33" s="1" t="s">
        <v>597</v>
      </c>
      <c r="Q33" s="1" t="s">
        <v>567</v>
      </c>
      <c r="R33" s="1" t="s">
        <v>254</v>
      </c>
      <c r="S33" s="7" t="s">
        <v>457</v>
      </c>
      <c r="T33" s="2" t="s">
        <v>80</v>
      </c>
      <c r="U33" s="2" t="s">
        <v>80</v>
      </c>
      <c r="V33" s="2" t="s">
        <v>81</v>
      </c>
      <c r="W33" s="2">
        <v>2020.0</v>
      </c>
      <c r="X33" s="2">
        <v>2020.0</v>
      </c>
      <c r="Y33" s="2" t="s">
        <v>258</v>
      </c>
    </row>
    <row r="34">
      <c r="A34" s="1">
        <v>33.0</v>
      </c>
      <c r="B34" s="2" t="s">
        <v>38</v>
      </c>
      <c r="C34" s="1" t="s">
        <v>39</v>
      </c>
      <c r="D34" s="2" t="s">
        <v>223</v>
      </c>
      <c r="E34" s="1" t="s">
        <v>592</v>
      </c>
      <c r="F34" s="1" t="s">
        <v>259</v>
      </c>
      <c r="G34" s="4" t="s">
        <v>182</v>
      </c>
      <c r="H34" s="1"/>
      <c r="I34" s="1"/>
      <c r="J34" s="1" t="s">
        <v>260</v>
      </c>
      <c r="K34" s="1" t="s">
        <v>474</v>
      </c>
      <c r="L34" s="1" t="s">
        <v>230</v>
      </c>
      <c r="M34" s="2" t="s">
        <v>97</v>
      </c>
      <c r="N34" s="6" t="s">
        <v>263</v>
      </c>
      <c r="O34" s="1" t="s">
        <v>602</v>
      </c>
      <c r="P34" s="1" t="s">
        <v>604</v>
      </c>
      <c r="Q34" s="2" t="s">
        <v>234</v>
      </c>
      <c r="R34" s="2" t="s">
        <v>235</v>
      </c>
      <c r="S34" s="7" t="s">
        <v>484</v>
      </c>
      <c r="T34" s="2" t="s">
        <v>80</v>
      </c>
      <c r="U34" s="2" t="s">
        <v>80</v>
      </c>
      <c r="V34" s="2" t="s">
        <v>269</v>
      </c>
      <c r="W34" s="1">
        <v>1992.0</v>
      </c>
      <c r="X34" s="1">
        <v>2025.0</v>
      </c>
    </row>
    <row r="35">
      <c r="A35" s="1">
        <v>34.0</v>
      </c>
      <c r="B35" s="2" t="s">
        <v>38</v>
      </c>
      <c r="C35" s="1" t="s">
        <v>39</v>
      </c>
      <c r="D35" s="2" t="s">
        <v>223</v>
      </c>
      <c r="E35" s="1" t="s">
        <v>592</v>
      </c>
      <c r="F35" s="2" t="s">
        <v>527</v>
      </c>
      <c r="G35" s="3" t="s">
        <v>528</v>
      </c>
      <c r="H35" s="1" t="s">
        <v>605</v>
      </c>
      <c r="I35" s="1"/>
      <c r="J35" s="1" t="s">
        <v>606</v>
      </c>
      <c r="K35" s="2" t="s">
        <v>46</v>
      </c>
      <c r="L35" s="2" t="s">
        <v>530</v>
      </c>
      <c r="M35" s="2" t="s">
        <v>49</v>
      </c>
      <c r="N35" s="6" t="s">
        <v>531</v>
      </c>
      <c r="O35" s="1" t="s">
        <v>611</v>
      </c>
      <c r="P35" s="1" t="s">
        <v>612</v>
      </c>
      <c r="Q35" s="2" t="s">
        <v>77</v>
      </c>
      <c r="R35" s="1" t="s">
        <v>167</v>
      </c>
      <c r="S35" s="7" t="s">
        <v>169</v>
      </c>
      <c r="T35" s="2" t="s">
        <v>80</v>
      </c>
      <c r="U35" s="2" t="s">
        <v>80</v>
      </c>
      <c r="V35" s="2" t="s">
        <v>94</v>
      </c>
      <c r="W35" s="2">
        <v>1961.0</v>
      </c>
      <c r="X35" s="2">
        <v>2020.0</v>
      </c>
      <c r="Y35" s="2" t="s">
        <v>542</v>
      </c>
    </row>
    <row r="36" ht="17.25" customHeight="1">
      <c r="A36" s="1">
        <v>35.0</v>
      </c>
      <c r="B36" s="1" t="s">
        <v>38</v>
      </c>
      <c r="C36" s="1" t="s">
        <v>39</v>
      </c>
      <c r="D36" s="1" t="s">
        <v>223</v>
      </c>
      <c r="E36" s="1" t="s">
        <v>592</v>
      </c>
      <c r="F36" s="1" t="s">
        <v>556</v>
      </c>
      <c r="G36" s="4" t="s">
        <v>616</v>
      </c>
      <c r="H36" s="1" t="s">
        <v>460</v>
      </c>
      <c r="I36" s="1"/>
      <c r="J36" s="1" t="s">
        <v>617</v>
      </c>
      <c r="K36" s="1" t="s">
        <v>46</v>
      </c>
      <c r="L36" s="1" t="s">
        <v>560</v>
      </c>
      <c r="M36" s="1" t="s">
        <v>49</v>
      </c>
      <c r="N36" s="8" t="s">
        <v>562</v>
      </c>
      <c r="O36" s="1" t="s">
        <v>619</v>
      </c>
      <c r="P36" s="1" t="s">
        <v>622</v>
      </c>
      <c r="R36" s="1" t="s">
        <v>167</v>
      </c>
      <c r="S36" s="11" t="s">
        <v>169</v>
      </c>
      <c r="T36" s="1" t="s">
        <v>80</v>
      </c>
      <c r="U36" s="1" t="s">
        <v>80</v>
      </c>
      <c r="V36" s="1" t="s">
        <v>81</v>
      </c>
      <c r="W36" s="1">
        <v>2000.0</v>
      </c>
      <c r="X36" s="1">
        <v>2000.0</v>
      </c>
    </row>
    <row r="37" ht="19.5" customHeight="1">
      <c r="A37" s="1">
        <v>36.0</v>
      </c>
      <c r="B37" s="1" t="s">
        <v>38</v>
      </c>
      <c r="C37" s="1" t="s">
        <v>39</v>
      </c>
      <c r="D37" s="1" t="s">
        <v>223</v>
      </c>
      <c r="E37" s="1" t="s">
        <v>592</v>
      </c>
      <c r="F37" s="1" t="s">
        <v>608</v>
      </c>
      <c r="G37" s="4" t="s">
        <v>609</v>
      </c>
      <c r="H37" s="1" t="s">
        <v>460</v>
      </c>
      <c r="I37" s="1"/>
      <c r="J37" s="1" t="s">
        <v>626</v>
      </c>
      <c r="K37" s="1" t="s">
        <v>474</v>
      </c>
      <c r="N37" s="8" t="s">
        <v>610</v>
      </c>
      <c r="O37" s="1" t="s">
        <v>630</v>
      </c>
      <c r="P37" s="1" t="s">
        <v>631</v>
      </c>
      <c r="R37" s="1" t="s">
        <v>235</v>
      </c>
      <c r="S37" s="11" t="s">
        <v>484</v>
      </c>
      <c r="T37" s="1" t="s">
        <v>80</v>
      </c>
      <c r="U37" s="1" t="s">
        <v>80</v>
      </c>
      <c r="W37" s="1">
        <v>1961.0</v>
      </c>
      <c r="X37" s="1">
        <v>2011.0</v>
      </c>
    </row>
    <row r="38">
      <c r="A38" s="1">
        <v>37.0</v>
      </c>
      <c r="B38" s="2" t="s">
        <v>38</v>
      </c>
      <c r="C38" s="1" t="s">
        <v>130</v>
      </c>
      <c r="D38" s="2" t="s">
        <v>223</v>
      </c>
      <c r="E38" s="1" t="s">
        <v>592</v>
      </c>
      <c r="F38" s="1" t="s">
        <v>634</v>
      </c>
      <c r="G38" s="3" t="s">
        <v>227</v>
      </c>
      <c r="H38" s="1"/>
      <c r="I38" s="1"/>
      <c r="J38" s="1" t="s">
        <v>174</v>
      </c>
      <c r="K38" s="1" t="s">
        <v>474</v>
      </c>
      <c r="L38" s="2" t="s">
        <v>230</v>
      </c>
      <c r="M38" s="2" t="s">
        <v>49</v>
      </c>
      <c r="N38" s="6" t="s">
        <v>232</v>
      </c>
      <c r="O38" s="1" t="s">
        <v>636</v>
      </c>
      <c r="P38" s="1" t="s">
        <v>637</v>
      </c>
      <c r="Q38" s="2" t="s">
        <v>234</v>
      </c>
      <c r="R38" s="2" t="s">
        <v>235</v>
      </c>
      <c r="S38" s="7" t="s">
        <v>484</v>
      </c>
      <c r="T38" s="2" t="s">
        <v>80</v>
      </c>
      <c r="U38" s="2" t="s">
        <v>80</v>
      </c>
      <c r="V38" s="2" t="s">
        <v>94</v>
      </c>
      <c r="W38" s="2">
        <v>1961.0</v>
      </c>
      <c r="X38" s="2">
        <v>2023.0</v>
      </c>
      <c r="Y38" s="2" t="s">
        <v>237</v>
      </c>
    </row>
    <row r="39">
      <c r="A39" s="1">
        <v>38.0</v>
      </c>
      <c r="B39" s="2" t="s">
        <v>38</v>
      </c>
      <c r="C39" s="1" t="s">
        <v>130</v>
      </c>
      <c r="D39" s="2" t="s">
        <v>223</v>
      </c>
      <c r="E39" s="1" t="s">
        <v>592</v>
      </c>
      <c r="F39" s="1" t="s">
        <v>639</v>
      </c>
      <c r="G39" s="4" t="s">
        <v>640</v>
      </c>
      <c r="H39" s="1"/>
      <c r="I39" s="1"/>
      <c r="J39" s="1" t="s">
        <v>174</v>
      </c>
      <c r="K39" s="1" t="s">
        <v>474</v>
      </c>
      <c r="L39" s="2" t="s">
        <v>274</v>
      </c>
      <c r="M39" s="2" t="s">
        <v>49</v>
      </c>
      <c r="N39" s="6" t="s">
        <v>275</v>
      </c>
      <c r="O39" s="1" t="s">
        <v>636</v>
      </c>
      <c r="P39" s="1" t="s">
        <v>641</v>
      </c>
      <c r="Q39" s="2" t="s">
        <v>234</v>
      </c>
      <c r="R39" s="2" t="s">
        <v>235</v>
      </c>
      <c r="S39" s="7" t="s">
        <v>484</v>
      </c>
      <c r="T39" s="2" t="s">
        <v>80</v>
      </c>
      <c r="U39" s="2" t="s">
        <v>80</v>
      </c>
      <c r="V39" s="2" t="s">
        <v>94</v>
      </c>
      <c r="W39" s="2">
        <v>1961.0</v>
      </c>
      <c r="X39" s="2">
        <v>2023.0</v>
      </c>
    </row>
    <row r="40">
      <c r="A40" s="1">
        <v>39.0</v>
      </c>
      <c r="B40" s="2" t="s">
        <v>38</v>
      </c>
      <c r="C40" s="1" t="s">
        <v>130</v>
      </c>
      <c r="D40" s="2" t="s">
        <v>223</v>
      </c>
      <c r="E40" s="1" t="s">
        <v>592</v>
      </c>
      <c r="F40" s="2" t="s">
        <v>383</v>
      </c>
      <c r="G40" s="4" t="s">
        <v>643</v>
      </c>
      <c r="H40" s="1" t="s">
        <v>644</v>
      </c>
      <c r="I40" s="1"/>
      <c r="J40" s="1" t="s">
        <v>645</v>
      </c>
      <c r="K40" s="2" t="s">
        <v>46</v>
      </c>
      <c r="L40" s="2" t="s">
        <v>389</v>
      </c>
      <c r="M40" s="2" t="s">
        <v>49</v>
      </c>
      <c r="N40" s="6" t="s">
        <v>392</v>
      </c>
      <c r="O40" s="1" t="s">
        <v>652</v>
      </c>
      <c r="P40" s="1" t="s">
        <v>653</v>
      </c>
      <c r="Q40" s="2" t="s">
        <v>77</v>
      </c>
      <c r="R40" s="1" t="s">
        <v>397</v>
      </c>
      <c r="S40" s="7" t="s">
        <v>398</v>
      </c>
      <c r="T40" s="2" t="s">
        <v>80</v>
      </c>
      <c r="U40" s="2" t="s">
        <v>80</v>
      </c>
      <c r="V40" s="2" t="s">
        <v>81</v>
      </c>
      <c r="W40" s="2">
        <v>2001.0</v>
      </c>
      <c r="X40" s="2">
        <v>2001.0</v>
      </c>
    </row>
    <row r="41">
      <c r="A41" s="1">
        <v>40.0</v>
      </c>
      <c r="B41" s="2" t="s">
        <v>38</v>
      </c>
      <c r="C41" s="1" t="s">
        <v>130</v>
      </c>
      <c r="D41" s="2" t="s">
        <v>223</v>
      </c>
      <c r="E41" s="1" t="s">
        <v>592</v>
      </c>
      <c r="F41" s="2" t="s">
        <v>543</v>
      </c>
      <c r="G41" s="4" t="s">
        <v>656</v>
      </c>
      <c r="H41" s="1"/>
      <c r="I41" s="1"/>
      <c r="J41" s="1" t="s">
        <v>658</v>
      </c>
      <c r="K41" s="1" t="s">
        <v>474</v>
      </c>
      <c r="L41" s="2" t="s">
        <v>545</v>
      </c>
      <c r="M41" s="2" t="s">
        <v>49</v>
      </c>
      <c r="N41" s="6" t="s">
        <v>546</v>
      </c>
      <c r="O41" s="1" t="s">
        <v>665</v>
      </c>
      <c r="P41" s="1" t="s">
        <v>667</v>
      </c>
      <c r="Q41" s="2" t="s">
        <v>234</v>
      </c>
      <c r="R41" s="2" t="s">
        <v>235</v>
      </c>
      <c r="S41" s="7" t="s">
        <v>484</v>
      </c>
      <c r="T41" s="2" t="s">
        <v>125</v>
      </c>
      <c r="U41" s="1" t="s">
        <v>127</v>
      </c>
      <c r="V41" s="2" t="s">
        <v>94</v>
      </c>
      <c r="W41" s="2">
        <v>1961.0</v>
      </c>
      <c r="X41" s="2">
        <v>2019.0</v>
      </c>
    </row>
    <row r="42">
      <c r="A42" s="1">
        <v>41.0</v>
      </c>
      <c r="B42" s="1" t="s">
        <v>38</v>
      </c>
      <c r="C42" s="1" t="s">
        <v>130</v>
      </c>
      <c r="D42" s="1" t="s">
        <v>223</v>
      </c>
      <c r="E42" s="1" t="s">
        <v>592</v>
      </c>
      <c r="F42" s="1" t="s">
        <v>668</v>
      </c>
      <c r="G42" s="4" t="s">
        <v>669</v>
      </c>
      <c r="K42" s="1" t="s">
        <v>474</v>
      </c>
      <c r="M42" s="2" t="s">
        <v>49</v>
      </c>
      <c r="N42" s="10" t="s">
        <v>670</v>
      </c>
      <c r="O42" s="1" t="s">
        <v>674</v>
      </c>
      <c r="P42" s="1" t="s">
        <v>676</v>
      </c>
      <c r="Q42" s="1" t="s">
        <v>677</v>
      </c>
      <c r="R42" s="1" t="s">
        <v>256</v>
      </c>
      <c r="S42" s="11" t="s">
        <v>257</v>
      </c>
      <c r="T42" s="1" t="s">
        <v>125</v>
      </c>
      <c r="U42" s="1" t="s">
        <v>127</v>
      </c>
      <c r="V42" s="1" t="s">
        <v>94</v>
      </c>
      <c r="W42" s="1">
        <v>2008.0</v>
      </c>
      <c r="X42" s="1">
        <v>2019.0</v>
      </c>
    </row>
    <row r="43">
      <c r="A43" s="1">
        <v>42.0</v>
      </c>
      <c r="B43" s="1" t="s">
        <v>38</v>
      </c>
      <c r="C43" s="1" t="s">
        <v>417</v>
      </c>
      <c r="D43" s="1" t="s">
        <v>40</v>
      </c>
      <c r="E43" s="1" t="s">
        <v>678</v>
      </c>
      <c r="F43" s="1" t="s">
        <v>679</v>
      </c>
      <c r="G43" s="4" t="s">
        <v>680</v>
      </c>
      <c r="K43" s="1" t="s">
        <v>474</v>
      </c>
      <c r="N43" s="8" t="s">
        <v>681</v>
      </c>
      <c r="O43" s="1" t="s">
        <v>688</v>
      </c>
      <c r="P43" s="1" t="s">
        <v>689</v>
      </c>
      <c r="Q43" s="1" t="s">
        <v>234</v>
      </c>
      <c r="R43" s="1" t="s">
        <v>690</v>
      </c>
      <c r="S43" s="11" t="s">
        <v>398</v>
      </c>
      <c r="T43" s="1" t="s">
        <v>92</v>
      </c>
      <c r="U43" s="1" t="s">
        <v>196</v>
      </c>
      <c r="V43" s="1" t="s">
        <v>94</v>
      </c>
      <c r="W43" s="1">
        <v>2015.0</v>
      </c>
      <c r="X43" s="1">
        <v>2022.0</v>
      </c>
    </row>
    <row r="44">
      <c r="A44" s="1">
        <v>43.0</v>
      </c>
      <c r="B44" s="2" t="s">
        <v>38</v>
      </c>
      <c r="C44" s="1" t="s">
        <v>417</v>
      </c>
      <c r="D44" s="1" t="s">
        <v>40</v>
      </c>
      <c r="E44" s="1" t="s">
        <v>678</v>
      </c>
      <c r="F44" s="2" t="s">
        <v>420</v>
      </c>
      <c r="G44" s="3" t="s">
        <v>421</v>
      </c>
      <c r="H44" s="1" t="s">
        <v>538</v>
      </c>
      <c r="I44" s="1" t="s">
        <v>137</v>
      </c>
      <c r="J44" s="1" t="s">
        <v>692</v>
      </c>
      <c r="K44" s="2" t="s">
        <v>46</v>
      </c>
      <c r="M44" s="2" t="s">
        <v>49</v>
      </c>
      <c r="N44" s="6" t="s">
        <v>426</v>
      </c>
      <c r="O44" s="1" t="s">
        <v>547</v>
      </c>
      <c r="P44" s="1" t="s">
        <v>695</v>
      </c>
      <c r="Q44" s="2" t="s">
        <v>77</v>
      </c>
      <c r="R44" s="1" t="s">
        <v>78</v>
      </c>
      <c r="S44" s="7" t="s">
        <v>79</v>
      </c>
      <c r="T44" s="2" t="s">
        <v>125</v>
      </c>
      <c r="U44" s="1" t="s">
        <v>127</v>
      </c>
      <c r="V44" s="2" t="s">
        <v>94</v>
      </c>
      <c r="W44" s="2">
        <v>2017.0</v>
      </c>
      <c r="X44" s="2">
        <v>2023.0</v>
      </c>
    </row>
    <row r="45">
      <c r="A45" s="1">
        <v>44.0</v>
      </c>
      <c r="B45" s="1" t="s">
        <v>38</v>
      </c>
      <c r="C45" s="1" t="s">
        <v>417</v>
      </c>
      <c r="D45" s="1" t="s">
        <v>40</v>
      </c>
      <c r="E45" s="1" t="s">
        <v>678</v>
      </c>
      <c r="F45" s="1" t="s">
        <v>701</v>
      </c>
      <c r="G45" s="4" t="s">
        <v>702</v>
      </c>
      <c r="H45" s="1" t="s">
        <v>703</v>
      </c>
      <c r="I45" s="1" t="s">
        <v>71</v>
      </c>
      <c r="K45" s="1" t="s">
        <v>46</v>
      </c>
      <c r="L45" s="1" t="s">
        <v>704</v>
      </c>
      <c r="N45" s="8" t="s">
        <v>705</v>
      </c>
      <c r="O45" s="1" t="s">
        <v>706</v>
      </c>
      <c r="P45" s="1" t="s">
        <v>708</v>
      </c>
      <c r="Q45" s="1" t="s">
        <v>77</v>
      </c>
      <c r="R45" s="1" t="s">
        <v>709</v>
      </c>
      <c r="S45" s="11" t="s">
        <v>710</v>
      </c>
      <c r="T45" s="1" t="s">
        <v>92</v>
      </c>
      <c r="U45" s="1" t="s">
        <v>196</v>
      </c>
      <c r="V45" s="1" t="s">
        <v>94</v>
      </c>
      <c r="W45" s="1">
        <v>1984.0</v>
      </c>
      <c r="X45" s="1">
        <v>2023.0</v>
      </c>
    </row>
    <row r="46">
      <c r="A46" s="1">
        <v>45.0</v>
      </c>
      <c r="B46" s="1" t="s">
        <v>38</v>
      </c>
      <c r="C46" s="1" t="s">
        <v>417</v>
      </c>
      <c r="D46" s="1" t="s">
        <v>40</v>
      </c>
      <c r="E46" s="1" t="s">
        <v>678</v>
      </c>
      <c r="F46" s="1" t="s">
        <v>713</v>
      </c>
      <c r="G46" s="4" t="s">
        <v>714</v>
      </c>
      <c r="H46" s="1" t="s">
        <v>715</v>
      </c>
      <c r="I46" s="1" t="s">
        <v>716</v>
      </c>
      <c r="K46" s="1" t="s">
        <v>46</v>
      </c>
      <c r="L46" s="1" t="s">
        <v>717</v>
      </c>
      <c r="M46" s="2" t="s">
        <v>49</v>
      </c>
      <c r="N46" s="8" t="s">
        <v>718</v>
      </c>
      <c r="O46" s="1" t="s">
        <v>723</v>
      </c>
      <c r="P46" s="1" t="s">
        <v>724</v>
      </c>
      <c r="Q46" s="1" t="s">
        <v>77</v>
      </c>
      <c r="R46" s="1" t="s">
        <v>86</v>
      </c>
      <c r="S46" s="11" t="s">
        <v>87</v>
      </c>
      <c r="T46" s="1" t="s">
        <v>80</v>
      </c>
      <c r="U46" s="1" t="s">
        <v>80</v>
      </c>
      <c r="V46" s="1" t="s">
        <v>94</v>
      </c>
      <c r="W46" s="1">
        <v>2000.0</v>
      </c>
      <c r="X46" s="1">
        <v>2022.0</v>
      </c>
    </row>
    <row r="47">
      <c r="A47" s="1">
        <v>46.0</v>
      </c>
      <c r="B47" s="2" t="s">
        <v>38</v>
      </c>
      <c r="C47" s="1" t="s">
        <v>39</v>
      </c>
      <c r="D47" s="2" t="s">
        <v>276</v>
      </c>
      <c r="E47" s="1" t="s">
        <v>725</v>
      </c>
      <c r="F47" s="2" t="s">
        <v>294</v>
      </c>
      <c r="G47" s="4" t="s">
        <v>726</v>
      </c>
      <c r="H47" s="1"/>
      <c r="I47" s="1"/>
      <c r="J47" s="1" t="s">
        <v>127</v>
      </c>
      <c r="K47" s="1" t="s">
        <v>46</v>
      </c>
      <c r="L47" s="1" t="s">
        <v>728</v>
      </c>
      <c r="M47" s="2" t="s">
        <v>65</v>
      </c>
      <c r="N47" s="6" t="s">
        <v>299</v>
      </c>
      <c r="O47" s="1" t="s">
        <v>730</v>
      </c>
      <c r="P47" s="1" t="s">
        <v>732</v>
      </c>
      <c r="Q47" s="1" t="s">
        <v>677</v>
      </c>
      <c r="R47" s="1" t="s">
        <v>167</v>
      </c>
      <c r="S47" s="7" t="s">
        <v>169</v>
      </c>
      <c r="T47" s="2" t="s">
        <v>125</v>
      </c>
      <c r="U47" s="1" t="s">
        <v>127</v>
      </c>
      <c r="V47" s="2" t="s">
        <v>81</v>
      </c>
      <c r="W47" s="2">
        <v>2010.0</v>
      </c>
      <c r="X47" s="2">
        <v>2010.0</v>
      </c>
    </row>
    <row r="48">
      <c r="A48" s="1">
        <v>47.0</v>
      </c>
      <c r="B48" s="2" t="s">
        <v>38</v>
      </c>
      <c r="C48" s="1" t="s">
        <v>39</v>
      </c>
      <c r="D48" s="2" t="s">
        <v>276</v>
      </c>
      <c r="E48" s="1" t="s">
        <v>725</v>
      </c>
      <c r="F48" s="1" t="s">
        <v>309</v>
      </c>
      <c r="G48" s="4" t="s">
        <v>736</v>
      </c>
      <c r="H48" s="1" t="s">
        <v>737</v>
      </c>
      <c r="I48" s="1" t="s">
        <v>738</v>
      </c>
      <c r="J48" s="1"/>
      <c r="K48" s="2" t="s">
        <v>46</v>
      </c>
      <c r="L48" s="2" t="s">
        <v>47</v>
      </c>
      <c r="M48" s="2" t="s">
        <v>97</v>
      </c>
      <c r="N48" s="6" t="s">
        <v>312</v>
      </c>
      <c r="O48" s="1" t="s">
        <v>744</v>
      </c>
      <c r="P48" s="1" t="s">
        <v>745</v>
      </c>
      <c r="Q48" s="2" t="s">
        <v>77</v>
      </c>
      <c r="R48" s="1" t="s">
        <v>86</v>
      </c>
      <c r="S48" s="7" t="s">
        <v>87</v>
      </c>
      <c r="T48" s="2" t="s">
        <v>80</v>
      </c>
      <c r="U48" s="2" t="s">
        <v>80</v>
      </c>
      <c r="V48" s="2" t="s">
        <v>81</v>
      </c>
      <c r="W48" s="1">
        <v>2018.0</v>
      </c>
      <c r="X48" s="2">
        <v>2018.0</v>
      </c>
    </row>
    <row r="49">
      <c r="A49" s="1">
        <v>48.0</v>
      </c>
      <c r="B49" s="1" t="s">
        <v>38</v>
      </c>
      <c r="C49" s="1" t="s">
        <v>39</v>
      </c>
      <c r="D49" s="1" t="s">
        <v>276</v>
      </c>
      <c r="E49" s="1" t="s">
        <v>725</v>
      </c>
      <c r="F49" s="1" t="s">
        <v>747</v>
      </c>
      <c r="G49" s="4" t="s">
        <v>748</v>
      </c>
      <c r="H49" s="1" t="s">
        <v>749</v>
      </c>
      <c r="I49" s="1" t="s">
        <v>150</v>
      </c>
      <c r="K49" s="1" t="s">
        <v>46</v>
      </c>
      <c r="L49" s="1" t="s">
        <v>750</v>
      </c>
      <c r="M49" s="2" t="s">
        <v>49</v>
      </c>
      <c r="N49" s="8" t="s">
        <v>751</v>
      </c>
      <c r="O49" s="1" t="s">
        <v>753</v>
      </c>
      <c r="P49" s="1" t="s">
        <v>754</v>
      </c>
      <c r="R49" s="1" t="s">
        <v>256</v>
      </c>
      <c r="S49" s="11" t="s">
        <v>257</v>
      </c>
      <c r="T49" s="1" t="s">
        <v>80</v>
      </c>
      <c r="U49" s="1" t="s">
        <v>80</v>
      </c>
      <c r="V49" s="1" t="s">
        <v>81</v>
      </c>
      <c r="W49" s="1">
        <v>2010.0</v>
      </c>
      <c r="X49" s="1">
        <v>2010.0</v>
      </c>
    </row>
    <row r="50">
      <c r="A50" s="1">
        <v>49.0</v>
      </c>
      <c r="B50" s="1" t="s">
        <v>38</v>
      </c>
      <c r="C50" s="1" t="s">
        <v>39</v>
      </c>
      <c r="D50" s="1" t="s">
        <v>276</v>
      </c>
      <c r="E50" s="1" t="s">
        <v>725</v>
      </c>
      <c r="F50" s="1" t="s">
        <v>755</v>
      </c>
      <c r="G50" s="4" t="s">
        <v>756</v>
      </c>
      <c r="H50" s="1" t="s">
        <v>757</v>
      </c>
      <c r="I50" s="1" t="s">
        <v>102</v>
      </c>
      <c r="K50" s="1" t="s">
        <v>46</v>
      </c>
      <c r="L50" s="1" t="s">
        <v>758</v>
      </c>
      <c r="M50" s="2" t="s">
        <v>49</v>
      </c>
      <c r="N50" s="14" t="s">
        <v>761</v>
      </c>
      <c r="O50" s="1" t="s">
        <v>767</v>
      </c>
      <c r="P50" s="1" t="s">
        <v>768</v>
      </c>
      <c r="Q50" s="1" t="s">
        <v>77</v>
      </c>
      <c r="R50" s="1" t="s">
        <v>78</v>
      </c>
      <c r="S50" s="11" t="s">
        <v>79</v>
      </c>
      <c r="T50" s="1" t="s">
        <v>242</v>
      </c>
      <c r="U50" s="1" t="s">
        <v>242</v>
      </c>
      <c r="V50" s="1" t="s">
        <v>94</v>
      </c>
      <c r="W50" s="1">
        <v>2018.0</v>
      </c>
      <c r="X50" s="1">
        <v>2023.0</v>
      </c>
    </row>
    <row r="51">
      <c r="A51" s="1">
        <v>50.0</v>
      </c>
      <c r="B51" s="1" t="s">
        <v>38</v>
      </c>
      <c r="C51" s="1" t="s">
        <v>39</v>
      </c>
      <c r="D51" s="1" t="s">
        <v>276</v>
      </c>
      <c r="E51" s="1" t="s">
        <v>725</v>
      </c>
      <c r="F51" s="1" t="s">
        <v>774</v>
      </c>
      <c r="G51" s="4" t="s">
        <v>776</v>
      </c>
      <c r="H51" s="1" t="s">
        <v>507</v>
      </c>
      <c r="I51" s="1" t="s">
        <v>101</v>
      </c>
      <c r="K51" s="1" t="s">
        <v>46</v>
      </c>
      <c r="L51" s="1" t="s">
        <v>778</v>
      </c>
      <c r="M51" s="2" t="s">
        <v>49</v>
      </c>
      <c r="N51" s="8" t="s">
        <v>779</v>
      </c>
      <c r="O51" s="1" t="s">
        <v>780</v>
      </c>
      <c r="P51" s="1" t="s">
        <v>782</v>
      </c>
      <c r="Q51" s="1" t="s">
        <v>77</v>
      </c>
      <c r="R51" s="1" t="s">
        <v>709</v>
      </c>
      <c r="S51" s="11" t="s">
        <v>710</v>
      </c>
      <c r="T51" s="1" t="s">
        <v>80</v>
      </c>
      <c r="U51" s="1" t="s">
        <v>80</v>
      </c>
      <c r="V51" s="1" t="s">
        <v>94</v>
      </c>
      <c r="W51" s="1">
        <v>2001.0</v>
      </c>
      <c r="X51" s="1">
        <v>2019.0</v>
      </c>
    </row>
    <row r="52">
      <c r="A52" s="1">
        <v>51.0</v>
      </c>
      <c r="B52" s="1" t="s">
        <v>38</v>
      </c>
      <c r="C52" s="1" t="s">
        <v>39</v>
      </c>
      <c r="D52" s="1" t="s">
        <v>276</v>
      </c>
      <c r="E52" s="1" t="s">
        <v>725</v>
      </c>
      <c r="F52" s="1" t="s">
        <v>787</v>
      </c>
      <c r="G52" s="4" t="s">
        <v>789</v>
      </c>
      <c r="H52" s="1" t="s">
        <v>89</v>
      </c>
      <c r="I52" s="1" t="s">
        <v>791</v>
      </c>
      <c r="K52" s="1" t="s">
        <v>46</v>
      </c>
      <c r="M52" s="2" t="s">
        <v>49</v>
      </c>
      <c r="N52" s="8" t="s">
        <v>792</v>
      </c>
      <c r="O52" s="1" t="s">
        <v>796</v>
      </c>
      <c r="P52" s="1" t="s">
        <v>797</v>
      </c>
      <c r="Q52" s="1" t="s">
        <v>798</v>
      </c>
      <c r="R52" s="1" t="s">
        <v>86</v>
      </c>
      <c r="S52" s="11" t="s">
        <v>87</v>
      </c>
      <c r="T52" s="1" t="s">
        <v>92</v>
      </c>
      <c r="U52" s="1" t="s">
        <v>196</v>
      </c>
      <c r="V52" s="1" t="s">
        <v>81</v>
      </c>
      <c r="W52" s="1">
        <v>2010.0</v>
      </c>
      <c r="X52" s="1">
        <v>2010.0</v>
      </c>
      <c r="Y52" s="10" t="s">
        <v>800</v>
      </c>
    </row>
    <row r="53">
      <c r="A53" s="1">
        <v>52.0</v>
      </c>
      <c r="B53" s="1" t="s">
        <v>38</v>
      </c>
      <c r="C53" s="1" t="s">
        <v>39</v>
      </c>
      <c r="D53" s="1" t="s">
        <v>276</v>
      </c>
      <c r="E53" s="1" t="s">
        <v>725</v>
      </c>
      <c r="F53" s="1" t="s">
        <v>805</v>
      </c>
      <c r="G53" s="4" t="s">
        <v>806</v>
      </c>
      <c r="I53" s="1" t="s">
        <v>137</v>
      </c>
      <c r="K53" s="1" t="s">
        <v>46</v>
      </c>
      <c r="M53" s="2" t="s">
        <v>49</v>
      </c>
      <c r="N53" s="8" t="s">
        <v>807</v>
      </c>
      <c r="O53" s="1" t="s">
        <v>813</v>
      </c>
      <c r="P53" s="1" t="s">
        <v>814</v>
      </c>
      <c r="Q53" s="1" t="s">
        <v>815</v>
      </c>
      <c r="R53" s="1" t="s">
        <v>78</v>
      </c>
      <c r="S53" s="11" t="s">
        <v>79</v>
      </c>
      <c r="T53" s="1" t="s">
        <v>80</v>
      </c>
      <c r="U53" s="1" t="s">
        <v>80</v>
      </c>
      <c r="V53" s="1" t="s">
        <v>81</v>
      </c>
      <c r="W53" s="1">
        <v>2025.0</v>
      </c>
      <c r="X53" s="1">
        <v>2025.0</v>
      </c>
    </row>
    <row r="54">
      <c r="A54" s="1">
        <v>53.0</v>
      </c>
      <c r="B54" s="1" t="s">
        <v>38</v>
      </c>
      <c r="C54" s="1" t="s">
        <v>39</v>
      </c>
      <c r="D54" s="1" t="s">
        <v>276</v>
      </c>
      <c r="E54" s="1" t="s">
        <v>725</v>
      </c>
      <c r="F54" s="1" t="s">
        <v>816</v>
      </c>
      <c r="G54" s="4" t="s">
        <v>817</v>
      </c>
      <c r="H54" s="1" t="s">
        <v>818</v>
      </c>
      <c r="K54" s="1" t="s">
        <v>46</v>
      </c>
      <c r="L54" s="1" t="s">
        <v>819</v>
      </c>
      <c r="M54" s="1" t="s">
        <v>65</v>
      </c>
      <c r="N54" s="8" t="s">
        <v>820</v>
      </c>
      <c r="O54" s="1" t="s">
        <v>825</v>
      </c>
      <c r="P54" s="1" t="s">
        <v>826</v>
      </c>
      <c r="Q54" s="1" t="s">
        <v>77</v>
      </c>
      <c r="R54" s="1" t="s">
        <v>256</v>
      </c>
      <c r="S54" s="11" t="s">
        <v>257</v>
      </c>
      <c r="T54" s="1" t="s">
        <v>92</v>
      </c>
      <c r="U54" s="1" t="s">
        <v>196</v>
      </c>
      <c r="V54" s="1" t="s">
        <v>94</v>
      </c>
      <c r="W54" s="1">
        <v>1938.0</v>
      </c>
      <c r="X54" s="1">
        <v>2020.0</v>
      </c>
    </row>
    <row r="55">
      <c r="A55" s="1">
        <v>54.0</v>
      </c>
      <c r="B55" s="1" t="s">
        <v>38</v>
      </c>
      <c r="C55" s="1" t="s">
        <v>39</v>
      </c>
      <c r="D55" s="1" t="s">
        <v>276</v>
      </c>
      <c r="E55" s="1" t="s">
        <v>725</v>
      </c>
      <c r="F55" s="1" t="s">
        <v>828</v>
      </c>
      <c r="G55" s="4" t="s">
        <v>829</v>
      </c>
      <c r="H55" s="1" t="s">
        <v>830</v>
      </c>
      <c r="I55" s="1" t="s">
        <v>101</v>
      </c>
      <c r="K55" s="1" t="s">
        <v>46</v>
      </c>
      <c r="M55" s="2" t="s">
        <v>49</v>
      </c>
      <c r="N55" s="8" t="s">
        <v>834</v>
      </c>
      <c r="O55" s="1" t="s">
        <v>835</v>
      </c>
      <c r="P55" s="1" t="s">
        <v>836</v>
      </c>
      <c r="Q55" s="1" t="s">
        <v>837</v>
      </c>
      <c r="R55" s="1" t="s">
        <v>256</v>
      </c>
      <c r="S55" s="1">
        <v>1.0</v>
      </c>
      <c r="T55" s="1" t="s">
        <v>80</v>
      </c>
      <c r="U55" s="1" t="s">
        <v>80</v>
      </c>
      <c r="V55" s="1" t="s">
        <v>81</v>
      </c>
      <c r="W55" s="1">
        <v>2005.0</v>
      </c>
      <c r="X55" s="1">
        <v>2005.0</v>
      </c>
    </row>
    <row r="56">
      <c r="A56" s="1">
        <v>55.0</v>
      </c>
      <c r="B56" s="2" t="s">
        <v>38</v>
      </c>
      <c r="C56" s="1" t="s">
        <v>130</v>
      </c>
      <c r="D56" s="2" t="s">
        <v>276</v>
      </c>
      <c r="E56" s="1" t="s">
        <v>725</v>
      </c>
      <c r="F56" s="2" t="s">
        <v>277</v>
      </c>
      <c r="G56" s="4" t="s">
        <v>844</v>
      </c>
      <c r="H56" s="1"/>
      <c r="I56" s="1"/>
      <c r="J56" s="1" t="s">
        <v>172</v>
      </c>
      <c r="K56" s="1" t="s">
        <v>474</v>
      </c>
      <c r="L56" s="2" t="s">
        <v>279</v>
      </c>
      <c r="M56" s="2" t="s">
        <v>65</v>
      </c>
      <c r="N56" s="8" t="s">
        <v>845</v>
      </c>
      <c r="O56" s="1" t="s">
        <v>849</v>
      </c>
      <c r="P56" s="1" t="s">
        <v>850</v>
      </c>
      <c r="Q56" s="2" t="s">
        <v>234</v>
      </c>
      <c r="R56" s="2" t="s">
        <v>235</v>
      </c>
      <c r="S56" s="7" t="s">
        <v>484</v>
      </c>
      <c r="T56" s="2" t="s">
        <v>125</v>
      </c>
      <c r="U56" s="1" t="s">
        <v>127</v>
      </c>
      <c r="V56" s="2" t="s">
        <v>94</v>
      </c>
      <c r="W56" s="2">
        <v>2012.0</v>
      </c>
      <c r="X56" s="2">
        <v>2021.0</v>
      </c>
    </row>
    <row r="57">
      <c r="A57" s="1">
        <v>56.0</v>
      </c>
      <c r="B57" s="2" t="s">
        <v>38</v>
      </c>
      <c r="C57" s="1" t="s">
        <v>130</v>
      </c>
      <c r="D57" s="2" t="s">
        <v>276</v>
      </c>
      <c r="E57" s="1" t="s">
        <v>725</v>
      </c>
      <c r="F57" s="2" t="s">
        <v>319</v>
      </c>
      <c r="G57" s="4" t="s">
        <v>851</v>
      </c>
      <c r="H57" s="1"/>
      <c r="I57" s="1"/>
      <c r="J57" s="1" t="s">
        <v>321</v>
      </c>
      <c r="K57" s="1" t="s">
        <v>474</v>
      </c>
      <c r="L57" s="2"/>
      <c r="M57" s="2" t="s">
        <v>49</v>
      </c>
      <c r="N57" s="6" t="s">
        <v>322</v>
      </c>
      <c r="O57" s="1" t="s">
        <v>861</v>
      </c>
      <c r="P57" s="1" t="s">
        <v>862</v>
      </c>
      <c r="Q57" s="2" t="s">
        <v>234</v>
      </c>
      <c r="R57" s="2" t="s">
        <v>235</v>
      </c>
      <c r="S57" s="7" t="s">
        <v>484</v>
      </c>
      <c r="T57" s="2" t="s">
        <v>80</v>
      </c>
      <c r="U57" s="2" t="s">
        <v>80</v>
      </c>
      <c r="V57" s="1" t="s">
        <v>94</v>
      </c>
      <c r="W57" s="2">
        <v>1985.0</v>
      </c>
      <c r="X57" s="1">
        <v>2024.0</v>
      </c>
    </row>
    <row r="58">
      <c r="A58" s="1">
        <v>57.0</v>
      </c>
      <c r="B58" s="2" t="s">
        <v>38</v>
      </c>
      <c r="C58" s="1" t="s">
        <v>130</v>
      </c>
      <c r="D58" s="2" t="s">
        <v>276</v>
      </c>
      <c r="E58" s="1" t="s">
        <v>725</v>
      </c>
      <c r="F58" s="1" t="s">
        <v>863</v>
      </c>
      <c r="G58" s="4" t="s">
        <v>864</v>
      </c>
      <c r="H58" s="1"/>
      <c r="I58" s="1"/>
      <c r="J58" s="1" t="s">
        <v>136</v>
      </c>
      <c r="K58" s="1" t="s">
        <v>474</v>
      </c>
      <c r="L58" s="2" t="s">
        <v>329</v>
      </c>
      <c r="M58" s="2" t="s">
        <v>49</v>
      </c>
      <c r="N58" s="6" t="s">
        <v>331</v>
      </c>
      <c r="O58" s="1" t="s">
        <v>867</v>
      </c>
      <c r="P58" s="1" t="s">
        <v>868</v>
      </c>
      <c r="Q58" s="2" t="s">
        <v>234</v>
      </c>
      <c r="R58" s="2" t="s">
        <v>235</v>
      </c>
      <c r="S58" s="7" t="s">
        <v>484</v>
      </c>
      <c r="T58" s="2" t="s">
        <v>80</v>
      </c>
      <c r="U58" s="2" t="s">
        <v>80</v>
      </c>
      <c r="V58" s="1" t="s">
        <v>94</v>
      </c>
      <c r="W58" s="1">
        <v>1961.0</v>
      </c>
      <c r="X58" s="1">
        <v>2023.0</v>
      </c>
    </row>
    <row r="59">
      <c r="A59" s="1">
        <v>58.0</v>
      </c>
      <c r="B59" s="2" t="s">
        <v>38</v>
      </c>
      <c r="C59" s="1" t="s">
        <v>130</v>
      </c>
      <c r="D59" s="2" t="s">
        <v>276</v>
      </c>
      <c r="E59" s="1" t="s">
        <v>725</v>
      </c>
      <c r="F59" s="2" t="s">
        <v>335</v>
      </c>
      <c r="G59" s="4" t="s">
        <v>874</v>
      </c>
      <c r="H59" s="1"/>
      <c r="I59" s="1"/>
      <c r="J59" s="1" t="s">
        <v>136</v>
      </c>
      <c r="K59" s="1" t="s">
        <v>474</v>
      </c>
      <c r="L59" s="2" t="s">
        <v>329</v>
      </c>
      <c r="M59" s="2" t="s">
        <v>49</v>
      </c>
      <c r="N59" s="6" t="s">
        <v>337</v>
      </c>
      <c r="O59" s="1" t="s">
        <v>880</v>
      </c>
      <c r="P59" s="1" t="s">
        <v>882</v>
      </c>
      <c r="Q59" s="2" t="s">
        <v>234</v>
      </c>
      <c r="R59" s="2" t="s">
        <v>235</v>
      </c>
      <c r="S59" s="7" t="s">
        <v>484</v>
      </c>
      <c r="T59" s="2" t="s">
        <v>80</v>
      </c>
      <c r="U59" s="2" t="s">
        <v>80</v>
      </c>
      <c r="V59" s="2" t="s">
        <v>81</v>
      </c>
      <c r="W59" s="2">
        <v>2000.0</v>
      </c>
      <c r="X59" s="2">
        <v>2000.0</v>
      </c>
    </row>
    <row r="60">
      <c r="A60" s="1">
        <v>59.0</v>
      </c>
      <c r="B60" s="2" t="s">
        <v>38</v>
      </c>
      <c r="C60" s="1" t="s">
        <v>130</v>
      </c>
      <c r="D60" s="2" t="s">
        <v>276</v>
      </c>
      <c r="E60" s="1" t="s">
        <v>725</v>
      </c>
      <c r="F60" s="2" t="s">
        <v>400</v>
      </c>
      <c r="G60" s="3" t="s">
        <v>401</v>
      </c>
      <c r="H60" s="1" t="s">
        <v>885</v>
      </c>
      <c r="I60" s="1" t="s">
        <v>101</v>
      </c>
      <c r="J60" s="1" t="s">
        <v>886</v>
      </c>
      <c r="K60" s="2" t="s">
        <v>46</v>
      </c>
      <c r="L60" s="2" t="s">
        <v>403</v>
      </c>
      <c r="M60" s="2" t="s">
        <v>49</v>
      </c>
      <c r="N60" s="6" t="s">
        <v>405</v>
      </c>
      <c r="O60" s="1" t="s">
        <v>887</v>
      </c>
      <c r="P60" s="1" t="s">
        <v>888</v>
      </c>
      <c r="Q60" s="2" t="s">
        <v>77</v>
      </c>
      <c r="R60" s="1" t="s">
        <v>307</v>
      </c>
      <c r="S60" s="7" t="s">
        <v>308</v>
      </c>
      <c r="T60" s="2" t="s">
        <v>80</v>
      </c>
      <c r="U60" s="2" t="s">
        <v>80</v>
      </c>
      <c r="V60" s="2" t="s">
        <v>81</v>
      </c>
      <c r="W60" s="2">
        <v>2020.0</v>
      </c>
      <c r="X60" s="2">
        <v>2020.0</v>
      </c>
    </row>
    <row r="61">
      <c r="A61" s="1">
        <v>60.0</v>
      </c>
      <c r="B61" s="1" t="s">
        <v>38</v>
      </c>
      <c r="C61" s="1" t="s">
        <v>130</v>
      </c>
      <c r="D61" s="1" t="s">
        <v>276</v>
      </c>
      <c r="E61" s="1" t="s">
        <v>725</v>
      </c>
      <c r="F61" s="1" t="s">
        <v>599</v>
      </c>
      <c r="G61" s="4" t="s">
        <v>600</v>
      </c>
      <c r="H61" s="1" t="s">
        <v>889</v>
      </c>
      <c r="I61" s="1"/>
      <c r="J61" s="1" t="s">
        <v>136</v>
      </c>
      <c r="K61" s="1" t="s">
        <v>46</v>
      </c>
      <c r="M61" s="2" t="s">
        <v>49</v>
      </c>
      <c r="N61" s="8" t="s">
        <v>601</v>
      </c>
      <c r="O61" s="1" t="s">
        <v>890</v>
      </c>
      <c r="P61" s="1" t="s">
        <v>891</v>
      </c>
      <c r="R61" s="1" t="s">
        <v>167</v>
      </c>
      <c r="S61" s="11" t="s">
        <v>169</v>
      </c>
      <c r="T61" s="1" t="s">
        <v>80</v>
      </c>
      <c r="U61" s="1" t="s">
        <v>80</v>
      </c>
      <c r="V61" s="1" t="s">
        <v>81</v>
      </c>
      <c r="W61" s="1">
        <v>2000.0</v>
      </c>
      <c r="X61" s="1">
        <v>2000.0</v>
      </c>
    </row>
    <row r="62">
      <c r="A62" s="1">
        <v>61.0</v>
      </c>
      <c r="B62" s="1" t="s">
        <v>38</v>
      </c>
      <c r="C62" s="1" t="s">
        <v>130</v>
      </c>
      <c r="D62" s="1" t="s">
        <v>276</v>
      </c>
      <c r="E62" s="1" t="s">
        <v>725</v>
      </c>
      <c r="F62" s="1" t="s">
        <v>892</v>
      </c>
      <c r="G62" s="4" t="s">
        <v>893</v>
      </c>
      <c r="H62" s="1"/>
      <c r="I62" s="1"/>
      <c r="J62" s="1" t="s">
        <v>172</v>
      </c>
      <c r="K62" s="1" t="s">
        <v>46</v>
      </c>
      <c r="M62" s="2" t="s">
        <v>49</v>
      </c>
      <c r="N62" s="8" t="s">
        <v>894</v>
      </c>
      <c r="O62" s="1" t="s">
        <v>895</v>
      </c>
      <c r="P62" s="1" t="s">
        <v>896</v>
      </c>
      <c r="Q62" s="1" t="s">
        <v>77</v>
      </c>
      <c r="R62" s="1" t="s">
        <v>254</v>
      </c>
      <c r="S62" s="11" t="s">
        <v>457</v>
      </c>
      <c r="T62" s="1" t="s">
        <v>125</v>
      </c>
      <c r="U62" s="1" t="s">
        <v>127</v>
      </c>
      <c r="V62" s="1" t="s">
        <v>81</v>
      </c>
      <c r="W62" s="1">
        <v>2022.0</v>
      </c>
      <c r="X62" s="1">
        <v>2022.0</v>
      </c>
    </row>
    <row r="63">
      <c r="A63" s="1">
        <v>62.0</v>
      </c>
      <c r="B63" s="1" t="s">
        <v>38</v>
      </c>
      <c r="C63" s="1" t="s">
        <v>130</v>
      </c>
      <c r="D63" s="1" t="s">
        <v>276</v>
      </c>
      <c r="E63" s="1" t="s">
        <v>725</v>
      </c>
      <c r="F63" s="1" t="s">
        <v>897</v>
      </c>
      <c r="G63" s="4" t="s">
        <v>898</v>
      </c>
      <c r="H63" s="1" t="s">
        <v>899</v>
      </c>
      <c r="J63" s="1" t="s">
        <v>900</v>
      </c>
      <c r="K63" s="1" t="s">
        <v>46</v>
      </c>
      <c r="M63" s="2" t="s">
        <v>49</v>
      </c>
      <c r="N63" s="8" t="s">
        <v>901</v>
      </c>
      <c r="O63" s="1" t="s">
        <v>902</v>
      </c>
      <c r="P63" s="1" t="s">
        <v>903</v>
      </c>
      <c r="Q63" s="1" t="s">
        <v>904</v>
      </c>
      <c r="R63" s="1" t="s">
        <v>307</v>
      </c>
      <c r="S63" s="11" t="s">
        <v>308</v>
      </c>
      <c r="T63" s="1" t="s">
        <v>80</v>
      </c>
      <c r="U63" s="1" t="s">
        <v>80</v>
      </c>
      <c r="V63" s="1" t="s">
        <v>81</v>
      </c>
      <c r="W63" s="1">
        <v>2005.0</v>
      </c>
      <c r="X63" s="1">
        <v>2005.0</v>
      </c>
    </row>
    <row r="64">
      <c r="A64" s="1">
        <v>63.0</v>
      </c>
      <c r="B64" s="1" t="s">
        <v>38</v>
      </c>
      <c r="C64" s="1" t="s">
        <v>130</v>
      </c>
      <c r="D64" s="1" t="s">
        <v>276</v>
      </c>
      <c r="E64" s="1" t="s">
        <v>725</v>
      </c>
      <c r="F64" s="1" t="s">
        <v>905</v>
      </c>
      <c r="G64" s="4" t="s">
        <v>905</v>
      </c>
      <c r="I64" s="1" t="s">
        <v>137</v>
      </c>
      <c r="K64" s="1" t="s">
        <v>46</v>
      </c>
      <c r="M64" s="1" t="s">
        <v>49</v>
      </c>
      <c r="N64" s="8" t="s">
        <v>906</v>
      </c>
      <c r="O64" s="1" t="s">
        <v>547</v>
      </c>
      <c r="P64" s="1" t="s">
        <v>907</v>
      </c>
      <c r="Q64" s="1" t="s">
        <v>77</v>
      </c>
      <c r="R64" s="1" t="s">
        <v>78</v>
      </c>
      <c r="S64" s="11" t="s">
        <v>79</v>
      </c>
      <c r="T64" s="1" t="s">
        <v>125</v>
      </c>
      <c r="U64" s="1" t="s">
        <v>127</v>
      </c>
      <c r="V64" s="1" t="s">
        <v>94</v>
      </c>
      <c r="W64" s="1">
        <v>2017.0</v>
      </c>
      <c r="X64" s="1">
        <v>2023.0</v>
      </c>
    </row>
    <row r="65">
      <c r="A65" s="1">
        <v>64.0</v>
      </c>
      <c r="B65" s="1" t="s">
        <v>38</v>
      </c>
      <c r="C65" s="1" t="s">
        <v>130</v>
      </c>
      <c r="D65" s="1" t="s">
        <v>276</v>
      </c>
      <c r="E65" s="1" t="s">
        <v>725</v>
      </c>
      <c r="F65" s="1" t="s">
        <v>908</v>
      </c>
      <c r="G65" s="4" t="s">
        <v>909</v>
      </c>
      <c r="J65" s="1" t="s">
        <v>172</v>
      </c>
      <c r="K65" s="1" t="s">
        <v>474</v>
      </c>
      <c r="M65" s="1" t="s">
        <v>49</v>
      </c>
      <c r="N65" s="8" t="s">
        <v>910</v>
      </c>
      <c r="O65" s="1" t="s">
        <v>911</v>
      </c>
      <c r="P65" s="1" t="s">
        <v>912</v>
      </c>
      <c r="Q65" s="1" t="s">
        <v>677</v>
      </c>
      <c r="R65" s="1" t="s">
        <v>414</v>
      </c>
      <c r="S65" s="11" t="s">
        <v>576</v>
      </c>
      <c r="T65" s="1" t="s">
        <v>125</v>
      </c>
      <c r="U65" s="1" t="s">
        <v>127</v>
      </c>
      <c r="V65" s="1" t="s">
        <v>269</v>
      </c>
      <c r="W65" s="1">
        <v>2005.0</v>
      </c>
      <c r="X65" s="1">
        <v>2010.0</v>
      </c>
    </row>
    <row r="66">
      <c r="A66" s="1">
        <v>65.0</v>
      </c>
      <c r="B66" s="1" t="s">
        <v>38</v>
      </c>
      <c r="C66" s="1" t="s">
        <v>130</v>
      </c>
      <c r="D66" s="1" t="s">
        <v>276</v>
      </c>
      <c r="E66" s="1" t="s">
        <v>725</v>
      </c>
      <c r="F66" s="1" t="s">
        <v>913</v>
      </c>
      <c r="G66" s="4" t="s">
        <v>914</v>
      </c>
      <c r="H66" s="1" t="s">
        <v>915</v>
      </c>
      <c r="I66" s="1" t="s">
        <v>101</v>
      </c>
      <c r="J66" s="1" t="s">
        <v>916</v>
      </c>
      <c r="K66" s="1" t="s">
        <v>46</v>
      </c>
      <c r="M66" s="1" t="s">
        <v>65</v>
      </c>
      <c r="N66" s="10" t="s">
        <v>917</v>
      </c>
      <c r="O66" s="1" t="s">
        <v>918</v>
      </c>
      <c r="P66" s="1" t="s">
        <v>919</v>
      </c>
      <c r="Q66" s="1" t="s">
        <v>77</v>
      </c>
      <c r="R66" s="1" t="s">
        <v>709</v>
      </c>
      <c r="S66" s="11" t="s">
        <v>710</v>
      </c>
      <c r="T66" s="1" t="s">
        <v>92</v>
      </c>
      <c r="U66" s="1" t="s">
        <v>196</v>
      </c>
      <c r="V66" s="1" t="s">
        <v>269</v>
      </c>
      <c r="W66" s="1">
        <v>2002.0</v>
      </c>
      <c r="X66" s="1">
        <v>2017.0</v>
      </c>
    </row>
    <row r="67" ht="15.75" customHeight="1">
      <c r="A67" s="1">
        <v>66.0</v>
      </c>
      <c r="B67" s="2" t="s">
        <v>38</v>
      </c>
      <c r="C67" s="1" t="s">
        <v>130</v>
      </c>
      <c r="D67" s="2" t="s">
        <v>512</v>
      </c>
      <c r="E67" s="1" t="s">
        <v>920</v>
      </c>
      <c r="F67" s="2" t="s">
        <v>514</v>
      </c>
      <c r="G67" s="3" t="s">
        <v>515</v>
      </c>
      <c r="H67" s="1"/>
      <c r="I67" s="1"/>
      <c r="J67" s="1" t="s">
        <v>174</v>
      </c>
      <c r="K67" s="1" t="s">
        <v>474</v>
      </c>
      <c r="L67" s="2" t="s">
        <v>230</v>
      </c>
      <c r="M67" s="2" t="s">
        <v>49</v>
      </c>
      <c r="N67" s="6" t="s">
        <v>516</v>
      </c>
      <c r="O67" s="1" t="s">
        <v>636</v>
      </c>
      <c r="P67" s="1" t="s">
        <v>921</v>
      </c>
      <c r="Q67" s="2" t="s">
        <v>234</v>
      </c>
      <c r="R67" s="2" t="s">
        <v>235</v>
      </c>
      <c r="S67" s="7" t="s">
        <v>484</v>
      </c>
      <c r="T67" s="2" t="s">
        <v>80</v>
      </c>
      <c r="U67" s="2" t="s">
        <v>80</v>
      </c>
      <c r="V67" s="2" t="s">
        <v>94</v>
      </c>
      <c r="W67" s="2">
        <v>1961.0</v>
      </c>
      <c r="X67" s="2">
        <v>2023.0</v>
      </c>
    </row>
    <row r="68">
      <c r="A68" s="1">
        <v>67.0</v>
      </c>
      <c r="B68" s="2" t="s">
        <v>38</v>
      </c>
      <c r="C68" s="1" t="s">
        <v>130</v>
      </c>
      <c r="D68" s="2" t="s">
        <v>512</v>
      </c>
      <c r="E68" s="1" t="s">
        <v>920</v>
      </c>
      <c r="F68" s="1" t="s">
        <v>922</v>
      </c>
      <c r="G68" s="3" t="s">
        <v>518</v>
      </c>
      <c r="H68" s="1"/>
      <c r="I68" s="1"/>
      <c r="J68" s="1" t="s">
        <v>172</v>
      </c>
      <c r="K68" s="1" t="s">
        <v>474</v>
      </c>
      <c r="M68" s="2"/>
      <c r="N68" s="6" t="s">
        <v>521</v>
      </c>
      <c r="O68" s="1" t="s">
        <v>849</v>
      </c>
      <c r="P68" s="1" t="s">
        <v>923</v>
      </c>
      <c r="R68" s="2" t="s">
        <v>235</v>
      </c>
      <c r="S68" s="7" t="s">
        <v>484</v>
      </c>
      <c r="T68" s="2" t="s">
        <v>125</v>
      </c>
      <c r="U68" s="1" t="s">
        <v>127</v>
      </c>
      <c r="V68" s="2" t="s">
        <v>81</v>
      </c>
      <c r="W68" s="1">
        <v>2010.0</v>
      </c>
      <c r="X68" s="1">
        <v>2023.0</v>
      </c>
    </row>
    <row r="69">
      <c r="A69" s="1">
        <v>68.0</v>
      </c>
      <c r="B69" s="1" t="s">
        <v>38</v>
      </c>
      <c r="C69" s="1" t="s">
        <v>130</v>
      </c>
      <c r="D69" s="1" t="s">
        <v>512</v>
      </c>
      <c r="E69" s="1" t="s">
        <v>920</v>
      </c>
      <c r="F69" s="1" t="s">
        <v>924</v>
      </c>
      <c r="G69" s="4" t="s">
        <v>925</v>
      </c>
      <c r="H69" s="1" t="s">
        <v>926</v>
      </c>
      <c r="I69" s="1" t="s">
        <v>101</v>
      </c>
      <c r="J69" s="1" t="s">
        <v>136</v>
      </c>
      <c r="K69" s="1" t="s">
        <v>46</v>
      </c>
      <c r="M69" s="1" t="s">
        <v>49</v>
      </c>
      <c r="N69" s="8" t="s">
        <v>927</v>
      </c>
      <c r="O69" s="1" t="s">
        <v>928</v>
      </c>
      <c r="P69" s="1" t="s">
        <v>929</v>
      </c>
      <c r="Q69" s="1" t="s">
        <v>77</v>
      </c>
      <c r="R69" s="1" t="s">
        <v>167</v>
      </c>
      <c r="S69" s="11" t="s">
        <v>169</v>
      </c>
      <c r="T69" s="1" t="s">
        <v>80</v>
      </c>
      <c r="U69" s="1" t="s">
        <v>80</v>
      </c>
      <c r="V69" s="1" t="s">
        <v>147</v>
      </c>
      <c r="W69" s="1">
        <v>2005.0</v>
      </c>
      <c r="X69" s="1">
        <v>2015.0</v>
      </c>
    </row>
    <row r="70">
      <c r="A70" s="1">
        <v>69.0</v>
      </c>
      <c r="B70" s="1" t="s">
        <v>38</v>
      </c>
      <c r="C70" s="1" t="s">
        <v>130</v>
      </c>
      <c r="D70" s="1" t="s">
        <v>512</v>
      </c>
      <c r="E70" s="1" t="s">
        <v>920</v>
      </c>
      <c r="F70" s="1" t="s">
        <v>930</v>
      </c>
      <c r="G70" s="4" t="s">
        <v>931</v>
      </c>
      <c r="H70" s="1"/>
      <c r="I70" s="1"/>
      <c r="J70" s="1" t="s">
        <v>136</v>
      </c>
      <c r="K70" s="1" t="s">
        <v>474</v>
      </c>
      <c r="M70" s="1" t="s">
        <v>49</v>
      </c>
      <c r="N70" s="10" t="s">
        <v>932</v>
      </c>
      <c r="O70" s="1" t="s">
        <v>933</v>
      </c>
      <c r="P70" s="1" t="s">
        <v>934</v>
      </c>
      <c r="Q70" s="1" t="s">
        <v>234</v>
      </c>
      <c r="R70" s="1" t="s">
        <v>235</v>
      </c>
      <c r="S70" s="11" t="s">
        <v>484</v>
      </c>
      <c r="T70" s="1" t="s">
        <v>125</v>
      </c>
      <c r="U70" s="1" t="s">
        <v>127</v>
      </c>
      <c r="V70" s="1" t="s">
        <v>494</v>
      </c>
      <c r="W70" s="1">
        <v>2000.0</v>
      </c>
      <c r="X70" s="1">
        <v>2020.0</v>
      </c>
    </row>
    <row r="71">
      <c r="A71" s="1">
        <v>70.0</v>
      </c>
      <c r="B71" s="1" t="s">
        <v>38</v>
      </c>
      <c r="C71" s="1" t="s">
        <v>130</v>
      </c>
      <c r="D71" s="1" t="s">
        <v>512</v>
      </c>
      <c r="E71" s="1" t="s">
        <v>920</v>
      </c>
      <c r="F71" s="1" t="s">
        <v>935</v>
      </c>
      <c r="G71" s="4" t="s">
        <v>936</v>
      </c>
      <c r="H71" s="1" t="s">
        <v>937</v>
      </c>
      <c r="I71" s="1" t="s">
        <v>938</v>
      </c>
      <c r="J71" s="1" t="s">
        <v>136</v>
      </c>
      <c r="K71" s="1" t="s">
        <v>46</v>
      </c>
      <c r="L71" s="1" t="s">
        <v>939</v>
      </c>
      <c r="M71" s="2" t="s">
        <v>49</v>
      </c>
      <c r="N71" s="8" t="s">
        <v>940</v>
      </c>
      <c r="O71" s="1" t="s">
        <v>941</v>
      </c>
      <c r="P71" s="1" t="s">
        <v>942</v>
      </c>
      <c r="Q71" s="1" t="s">
        <v>77</v>
      </c>
      <c r="R71" s="1" t="s">
        <v>254</v>
      </c>
      <c r="S71" s="1">
        <v>5.0</v>
      </c>
      <c r="T71" s="1" t="s">
        <v>80</v>
      </c>
      <c r="U71" s="1" t="s">
        <v>80</v>
      </c>
      <c r="V71" s="1" t="s">
        <v>94</v>
      </c>
      <c r="W71" s="1">
        <v>1961.0</v>
      </c>
      <c r="X71" s="1">
        <v>2021.0</v>
      </c>
    </row>
    <row r="72">
      <c r="A72" s="1">
        <v>71.0</v>
      </c>
      <c r="B72" s="1" t="s">
        <v>38</v>
      </c>
      <c r="C72" s="1" t="s">
        <v>130</v>
      </c>
      <c r="D72" s="1" t="s">
        <v>346</v>
      </c>
      <c r="E72" s="1" t="s">
        <v>943</v>
      </c>
      <c r="F72" s="1" t="s">
        <v>944</v>
      </c>
      <c r="G72" s="4" t="s">
        <v>945</v>
      </c>
      <c r="H72" s="1" t="s">
        <v>946</v>
      </c>
      <c r="J72" s="1" t="s">
        <v>947</v>
      </c>
      <c r="K72" s="1" t="s">
        <v>46</v>
      </c>
      <c r="L72" s="1" t="s">
        <v>530</v>
      </c>
      <c r="M72" s="1" t="s">
        <v>49</v>
      </c>
      <c r="N72" s="8" t="s">
        <v>948</v>
      </c>
      <c r="O72" s="1" t="s">
        <v>949</v>
      </c>
      <c r="P72" s="1" t="s">
        <v>950</v>
      </c>
      <c r="Q72" s="1" t="s">
        <v>77</v>
      </c>
      <c r="R72" s="1" t="s">
        <v>709</v>
      </c>
      <c r="S72" s="11" t="s">
        <v>710</v>
      </c>
      <c r="T72" s="1" t="s">
        <v>125</v>
      </c>
      <c r="U72" s="1" t="s">
        <v>127</v>
      </c>
      <c r="V72" s="1" t="s">
        <v>81</v>
      </c>
      <c r="W72" s="1">
        <v>2018.0</v>
      </c>
      <c r="X72" s="1">
        <v>2018.0</v>
      </c>
    </row>
    <row r="73">
      <c r="A73" s="1">
        <v>72.0</v>
      </c>
      <c r="B73" s="2" t="s">
        <v>38</v>
      </c>
      <c r="C73" s="1" t="s">
        <v>130</v>
      </c>
      <c r="D73" s="2" t="s">
        <v>346</v>
      </c>
      <c r="E73" s="1" t="s">
        <v>943</v>
      </c>
      <c r="F73" s="1" t="s">
        <v>951</v>
      </c>
      <c r="G73" s="3" t="s">
        <v>349</v>
      </c>
      <c r="H73" s="1"/>
      <c r="I73" s="1"/>
      <c r="J73" s="1" t="s">
        <v>174</v>
      </c>
      <c r="K73" s="1" t="s">
        <v>474</v>
      </c>
      <c r="L73" s="2" t="s">
        <v>350</v>
      </c>
      <c r="M73" s="2" t="s">
        <v>49</v>
      </c>
      <c r="N73" s="6" t="s">
        <v>351</v>
      </c>
      <c r="O73" s="1" t="s">
        <v>636</v>
      </c>
      <c r="P73" s="1" t="s">
        <v>952</v>
      </c>
      <c r="Q73" s="2" t="s">
        <v>234</v>
      </c>
      <c r="R73" s="2" t="s">
        <v>235</v>
      </c>
      <c r="S73" s="7" t="s">
        <v>484</v>
      </c>
      <c r="T73" s="2" t="s">
        <v>80</v>
      </c>
      <c r="U73" s="2" t="s">
        <v>80</v>
      </c>
      <c r="V73" s="2" t="s">
        <v>94</v>
      </c>
      <c r="W73" s="2">
        <v>1990.0</v>
      </c>
      <c r="X73" s="2">
        <v>2023.0</v>
      </c>
    </row>
    <row r="74">
      <c r="A74" s="1">
        <v>73.0</v>
      </c>
      <c r="B74" s="2" t="s">
        <v>38</v>
      </c>
      <c r="C74" s="1" t="s">
        <v>130</v>
      </c>
      <c r="D74" s="2" t="s">
        <v>346</v>
      </c>
      <c r="E74" s="1" t="s">
        <v>943</v>
      </c>
      <c r="F74" s="1" t="s">
        <v>353</v>
      </c>
      <c r="G74" s="4" t="s">
        <v>202</v>
      </c>
      <c r="H74" s="1"/>
      <c r="I74" s="1"/>
      <c r="J74" s="1" t="s">
        <v>200</v>
      </c>
      <c r="K74" s="1" t="s">
        <v>474</v>
      </c>
      <c r="L74" s="2"/>
      <c r="M74" s="2" t="s">
        <v>65</v>
      </c>
      <c r="N74" s="6" t="s">
        <v>355</v>
      </c>
      <c r="O74" s="1" t="s">
        <v>953</v>
      </c>
      <c r="P74" s="1" t="s">
        <v>954</v>
      </c>
      <c r="Q74" s="2" t="s">
        <v>234</v>
      </c>
      <c r="R74" s="2" t="s">
        <v>361</v>
      </c>
      <c r="S74" s="7" t="s">
        <v>955</v>
      </c>
      <c r="T74" s="1" t="s">
        <v>92</v>
      </c>
      <c r="U74" s="1" t="s">
        <v>196</v>
      </c>
      <c r="V74" s="2" t="s">
        <v>94</v>
      </c>
      <c r="W74" s="2">
        <v>1992.0</v>
      </c>
      <c r="X74" s="2">
        <v>2012.0</v>
      </c>
    </row>
    <row r="75" ht="19.5" customHeight="1">
      <c r="A75" s="1">
        <v>74.0</v>
      </c>
      <c r="B75" s="2" t="s">
        <v>38</v>
      </c>
      <c r="C75" s="1" t="s">
        <v>130</v>
      </c>
      <c r="D75" s="2" t="s">
        <v>346</v>
      </c>
      <c r="E75" s="1" t="s">
        <v>943</v>
      </c>
      <c r="F75" s="1" t="s">
        <v>956</v>
      </c>
      <c r="G75" s="4" t="s">
        <v>957</v>
      </c>
      <c r="H75" s="1"/>
      <c r="I75" s="1"/>
      <c r="J75" s="1" t="s">
        <v>172</v>
      </c>
      <c r="K75" s="1" t="s">
        <v>474</v>
      </c>
      <c r="L75" s="2"/>
      <c r="M75" s="2" t="s">
        <v>65</v>
      </c>
      <c r="N75" s="6" t="s">
        <v>280</v>
      </c>
      <c r="O75" s="1" t="s">
        <v>958</v>
      </c>
      <c r="P75" s="1" t="s">
        <v>959</v>
      </c>
      <c r="Q75" s="2" t="s">
        <v>234</v>
      </c>
      <c r="R75" s="2" t="s">
        <v>235</v>
      </c>
      <c r="S75" s="7" t="s">
        <v>484</v>
      </c>
      <c r="T75" s="2" t="s">
        <v>125</v>
      </c>
      <c r="U75" s="1" t="s">
        <v>127</v>
      </c>
      <c r="V75" s="2" t="s">
        <v>94</v>
      </c>
      <c r="W75" s="2">
        <v>2015.0</v>
      </c>
      <c r="X75" s="2">
        <v>2024.0</v>
      </c>
    </row>
    <row r="76" ht="15.75" customHeight="1">
      <c r="A76" s="1">
        <v>75.0</v>
      </c>
      <c r="B76" s="2" t="s">
        <v>38</v>
      </c>
      <c r="C76" s="1" t="s">
        <v>130</v>
      </c>
      <c r="D76" s="2" t="s">
        <v>346</v>
      </c>
      <c r="E76" s="1" t="s">
        <v>943</v>
      </c>
      <c r="F76" s="2" t="s">
        <v>373</v>
      </c>
      <c r="G76" s="3" t="s">
        <v>374</v>
      </c>
      <c r="H76" s="1" t="s">
        <v>960</v>
      </c>
      <c r="I76" s="1"/>
      <c r="J76" s="1" t="s">
        <v>961</v>
      </c>
      <c r="K76" s="2" t="s">
        <v>46</v>
      </c>
      <c r="L76" s="2" t="s">
        <v>376</v>
      </c>
      <c r="M76" s="2" t="s">
        <v>49</v>
      </c>
      <c r="N76" s="6" t="s">
        <v>378</v>
      </c>
      <c r="O76" s="1" t="s">
        <v>962</v>
      </c>
      <c r="P76" s="1" t="s">
        <v>963</v>
      </c>
      <c r="Q76" s="2" t="s">
        <v>77</v>
      </c>
      <c r="R76" s="1" t="s">
        <v>167</v>
      </c>
      <c r="S76" s="7" t="s">
        <v>169</v>
      </c>
      <c r="T76" s="2" t="s">
        <v>80</v>
      </c>
      <c r="U76" s="1" t="s">
        <v>80</v>
      </c>
      <c r="V76" s="2" t="s">
        <v>147</v>
      </c>
      <c r="W76" s="2">
        <v>2015.0</v>
      </c>
      <c r="X76" s="2">
        <v>2025.0</v>
      </c>
    </row>
    <row r="77">
      <c r="A77" s="1">
        <v>76.0</v>
      </c>
      <c r="B77" s="1" t="s">
        <v>964</v>
      </c>
      <c r="F77" s="1" t="s">
        <v>965</v>
      </c>
      <c r="G77" s="1" t="s">
        <v>965</v>
      </c>
      <c r="I77" s="1" t="s">
        <v>966</v>
      </c>
      <c r="O77" s="9" t="s">
        <v>687</v>
      </c>
    </row>
    <row r="78">
      <c r="A78" s="1">
        <v>77.0</v>
      </c>
      <c r="B78" s="1" t="s">
        <v>964</v>
      </c>
      <c r="F78" s="1" t="s">
        <v>967</v>
      </c>
      <c r="G78" s="1" t="s">
        <v>967</v>
      </c>
      <c r="O78" s="9" t="s">
        <v>687</v>
      </c>
    </row>
    <row r="79">
      <c r="A79" s="1">
        <v>78.0</v>
      </c>
      <c r="B79" s="1" t="s">
        <v>964</v>
      </c>
      <c r="F79" s="1" t="s">
        <v>968</v>
      </c>
      <c r="G79" s="1" t="s">
        <v>968</v>
      </c>
      <c r="O79" s="9" t="s">
        <v>687</v>
      </c>
    </row>
    <row r="80">
      <c r="A80" s="1">
        <v>135.0</v>
      </c>
      <c r="B80" s="1" t="s">
        <v>646</v>
      </c>
      <c r="C80" s="1" t="s">
        <v>246</v>
      </c>
      <c r="D80" s="2" t="s">
        <v>40</v>
      </c>
      <c r="E80" s="1" t="s">
        <v>60</v>
      </c>
      <c r="F80" s="2" t="s">
        <v>466</v>
      </c>
      <c r="G80" s="1" t="s">
        <v>467</v>
      </c>
      <c r="H80" s="1" t="s">
        <v>969</v>
      </c>
      <c r="I80" s="1" t="s">
        <v>970</v>
      </c>
      <c r="K80" s="2" t="s">
        <v>46</v>
      </c>
      <c r="L80" s="2" t="s">
        <v>469</v>
      </c>
      <c r="M80" s="2" t="s">
        <v>49</v>
      </c>
      <c r="N80" s="6" t="s">
        <v>471</v>
      </c>
      <c r="O80" s="1" t="s">
        <v>971</v>
      </c>
      <c r="P80" s="1" t="s">
        <v>972</v>
      </c>
      <c r="Q80" s="2" t="s">
        <v>77</v>
      </c>
      <c r="R80" s="1" t="s">
        <v>254</v>
      </c>
      <c r="S80" s="7" t="s">
        <v>457</v>
      </c>
      <c r="T80" s="2" t="s">
        <v>80</v>
      </c>
      <c r="U80" s="2"/>
      <c r="V80" s="2" t="s">
        <v>478</v>
      </c>
      <c r="W80" s="2">
        <v>1982.0</v>
      </c>
      <c r="X80" s="2">
        <v>2016.0</v>
      </c>
    </row>
    <row r="81">
      <c r="A81" s="1">
        <v>79.0</v>
      </c>
      <c r="B81" s="1" t="s">
        <v>646</v>
      </c>
      <c r="C81" s="1" t="s">
        <v>973</v>
      </c>
      <c r="F81" s="1" t="s">
        <v>974</v>
      </c>
      <c r="G81" s="1" t="s">
        <v>974</v>
      </c>
      <c r="O81" s="9" t="s">
        <v>687</v>
      </c>
    </row>
    <row r="82">
      <c r="A82" s="1">
        <v>80.0</v>
      </c>
      <c r="B82" s="1" t="s">
        <v>646</v>
      </c>
      <c r="C82" s="1" t="s">
        <v>973</v>
      </c>
      <c r="F82" s="1" t="s">
        <v>486</v>
      </c>
      <c r="G82" s="1" t="s">
        <v>486</v>
      </c>
      <c r="J82" s="1" t="s">
        <v>163</v>
      </c>
      <c r="O82" s="9" t="s">
        <v>687</v>
      </c>
    </row>
    <row r="83">
      <c r="A83" s="1">
        <v>81.0</v>
      </c>
      <c r="B83" s="2" t="s">
        <v>646</v>
      </c>
      <c r="C83" s="2" t="s">
        <v>647</v>
      </c>
      <c r="D83" s="2" t="s">
        <v>648</v>
      </c>
      <c r="E83" s="2"/>
      <c r="F83" s="2" t="s">
        <v>649</v>
      </c>
      <c r="G83" s="2" t="s">
        <v>650</v>
      </c>
      <c r="H83" s="1" t="s">
        <v>975</v>
      </c>
      <c r="I83" s="1" t="s">
        <v>137</v>
      </c>
      <c r="J83" s="2"/>
      <c r="K83" s="2" t="s">
        <v>46</v>
      </c>
      <c r="L83" s="2" t="s">
        <v>247</v>
      </c>
      <c r="M83" s="2" t="s">
        <v>49</v>
      </c>
      <c r="N83" s="6" t="s">
        <v>651</v>
      </c>
      <c r="O83" s="9" t="s">
        <v>687</v>
      </c>
      <c r="P83" s="2" t="s">
        <v>654</v>
      </c>
      <c r="Q83" s="2" t="s">
        <v>77</v>
      </c>
      <c r="R83" s="1" t="s">
        <v>256</v>
      </c>
      <c r="S83" s="15" t="s">
        <v>257</v>
      </c>
      <c r="T83" s="2" t="s">
        <v>80</v>
      </c>
      <c r="U83" s="2"/>
      <c r="V83" s="2" t="s">
        <v>94</v>
      </c>
      <c r="W83" s="2">
        <v>2001.0</v>
      </c>
      <c r="X83" s="2">
        <v>2024.0</v>
      </c>
    </row>
    <row r="84">
      <c r="A84" s="1">
        <v>82.0</v>
      </c>
      <c r="B84" s="1" t="s">
        <v>646</v>
      </c>
      <c r="C84" s="1" t="s">
        <v>647</v>
      </c>
      <c r="D84" s="1" t="s">
        <v>40</v>
      </c>
      <c r="E84" s="1"/>
      <c r="F84" s="1" t="s">
        <v>859</v>
      </c>
      <c r="G84" s="1" t="s">
        <v>570</v>
      </c>
      <c r="H84" s="1"/>
      <c r="I84" s="1" t="s">
        <v>976</v>
      </c>
      <c r="J84" s="1"/>
      <c r="K84" s="1" t="s">
        <v>46</v>
      </c>
      <c r="N84" s="10" t="s">
        <v>860</v>
      </c>
      <c r="O84" s="9" t="s">
        <v>687</v>
      </c>
      <c r="P84" s="1" t="s">
        <v>977</v>
      </c>
      <c r="Q84" s="1" t="s">
        <v>77</v>
      </c>
      <c r="S84" s="15"/>
    </row>
    <row r="85">
      <c r="A85" s="1">
        <v>83.0</v>
      </c>
      <c r="B85" s="1" t="s">
        <v>646</v>
      </c>
      <c r="C85" s="1" t="s">
        <v>647</v>
      </c>
      <c r="F85" s="1" t="s">
        <v>846</v>
      </c>
      <c r="G85" s="1" t="s">
        <v>847</v>
      </c>
      <c r="H85" s="1" t="s">
        <v>570</v>
      </c>
      <c r="I85" s="1" t="s">
        <v>96</v>
      </c>
      <c r="K85" s="1" t="s">
        <v>46</v>
      </c>
      <c r="N85" s="8" t="s">
        <v>848</v>
      </c>
      <c r="O85" s="9" t="s">
        <v>687</v>
      </c>
      <c r="S85" s="15"/>
    </row>
    <row r="86">
      <c r="A86" s="1">
        <v>84.0</v>
      </c>
      <c r="B86" s="2" t="s">
        <v>646</v>
      </c>
      <c r="C86" s="2" t="s">
        <v>659</v>
      </c>
      <c r="D86" s="2" t="s">
        <v>660</v>
      </c>
      <c r="E86" s="2"/>
      <c r="F86" s="2" t="s">
        <v>663</v>
      </c>
      <c r="G86" s="2" t="s">
        <v>664</v>
      </c>
      <c r="H86" s="2"/>
      <c r="I86" s="2"/>
      <c r="J86" s="2"/>
      <c r="K86" s="2" t="s">
        <v>46</v>
      </c>
      <c r="M86" s="2" t="s">
        <v>49</v>
      </c>
      <c r="N86" s="6" t="s">
        <v>666</v>
      </c>
      <c r="O86" s="9" t="s">
        <v>687</v>
      </c>
      <c r="P86" s="2"/>
      <c r="Q86" s="2" t="s">
        <v>77</v>
      </c>
      <c r="R86" s="1" t="s">
        <v>256</v>
      </c>
      <c r="S86" s="15" t="s">
        <v>257</v>
      </c>
      <c r="T86" s="2" t="s">
        <v>80</v>
      </c>
      <c r="U86" s="2"/>
      <c r="V86" s="2" t="s">
        <v>81</v>
      </c>
      <c r="W86" s="2">
        <v>2009.0</v>
      </c>
      <c r="X86" s="2">
        <v>2009.0</v>
      </c>
    </row>
    <row r="87">
      <c r="A87" s="1">
        <v>85.0</v>
      </c>
      <c r="B87" s="2" t="s">
        <v>646</v>
      </c>
      <c r="C87" s="2" t="s">
        <v>659</v>
      </c>
      <c r="D87" s="2" t="s">
        <v>660</v>
      </c>
      <c r="E87" s="2"/>
      <c r="F87" s="2" t="s">
        <v>671</v>
      </c>
      <c r="G87" s="2" t="s">
        <v>672</v>
      </c>
      <c r="H87" s="2"/>
      <c r="I87" s="2"/>
      <c r="J87" s="2"/>
      <c r="K87" s="2" t="s">
        <v>46</v>
      </c>
      <c r="L87" s="2" t="s">
        <v>673</v>
      </c>
      <c r="M87" s="2" t="s">
        <v>97</v>
      </c>
      <c r="N87" s="6" t="s">
        <v>675</v>
      </c>
      <c r="O87" s="9" t="s">
        <v>687</v>
      </c>
      <c r="P87" s="2" t="s">
        <v>682</v>
      </c>
      <c r="Q87" s="2" t="s">
        <v>77</v>
      </c>
      <c r="R87" s="1" t="s">
        <v>256</v>
      </c>
      <c r="S87" s="15" t="s">
        <v>257</v>
      </c>
      <c r="T87" s="2" t="s">
        <v>80</v>
      </c>
      <c r="U87" s="2"/>
      <c r="V87" s="2" t="s">
        <v>269</v>
      </c>
      <c r="W87" s="2">
        <v>1992.0</v>
      </c>
      <c r="X87" s="2">
        <v>2022.0</v>
      </c>
    </row>
    <row r="88">
      <c r="A88" s="1">
        <v>86.0</v>
      </c>
      <c r="B88" s="1" t="s">
        <v>646</v>
      </c>
      <c r="C88" s="1" t="s">
        <v>659</v>
      </c>
      <c r="D88" s="1" t="s">
        <v>978</v>
      </c>
      <c r="E88" s="1"/>
      <c r="F88" s="1" t="s">
        <v>841</v>
      </c>
      <c r="G88" s="1" t="s">
        <v>842</v>
      </c>
      <c r="K88" s="1" t="s">
        <v>46</v>
      </c>
      <c r="N88" s="8" t="s">
        <v>843</v>
      </c>
      <c r="O88" s="9" t="s">
        <v>687</v>
      </c>
      <c r="S88" s="15"/>
    </row>
    <row r="89">
      <c r="A89" s="1">
        <v>87.0</v>
      </c>
      <c r="B89" s="1" t="s">
        <v>646</v>
      </c>
      <c r="C89" s="1" t="s">
        <v>222</v>
      </c>
      <c r="D89" s="1" t="s">
        <v>21</v>
      </c>
      <c r="E89" s="1"/>
      <c r="F89" s="1" t="s">
        <v>979</v>
      </c>
      <c r="G89" s="1" t="s">
        <v>980</v>
      </c>
      <c r="H89" s="1" t="s">
        <v>981</v>
      </c>
      <c r="N89" s="8" t="s">
        <v>982</v>
      </c>
      <c r="O89" s="9" t="s">
        <v>687</v>
      </c>
      <c r="P89" s="1" t="s">
        <v>983</v>
      </c>
      <c r="Q89" s="1" t="s">
        <v>77</v>
      </c>
      <c r="R89" s="1" t="s">
        <v>984</v>
      </c>
      <c r="S89" s="1">
        <v>1.0</v>
      </c>
      <c r="T89" s="1" t="s">
        <v>80</v>
      </c>
      <c r="U89" s="1"/>
      <c r="V89" s="1" t="s">
        <v>81</v>
      </c>
      <c r="W89" s="1">
        <v>2015.0</v>
      </c>
      <c r="X89" s="1">
        <v>2015.0</v>
      </c>
    </row>
    <row r="90">
      <c r="A90" s="1">
        <v>88.0</v>
      </c>
      <c r="B90" s="1" t="s">
        <v>646</v>
      </c>
      <c r="C90" s="1" t="s">
        <v>222</v>
      </c>
      <c r="D90" s="1" t="s">
        <v>856</v>
      </c>
      <c r="E90" s="1"/>
      <c r="F90" s="1" t="s">
        <v>857</v>
      </c>
      <c r="G90" s="1" t="s">
        <v>858</v>
      </c>
      <c r="H90" s="1"/>
      <c r="I90" s="1" t="s">
        <v>985</v>
      </c>
      <c r="J90" s="1"/>
      <c r="K90" s="1" t="s">
        <v>46</v>
      </c>
      <c r="N90" s="8" t="s">
        <v>986</v>
      </c>
      <c r="O90" s="9" t="s">
        <v>687</v>
      </c>
      <c r="S90" s="15"/>
    </row>
    <row r="91">
      <c r="A91" s="1">
        <v>89.0</v>
      </c>
      <c r="B91" s="1" t="s">
        <v>646</v>
      </c>
      <c r="C91" s="1" t="s">
        <v>222</v>
      </c>
      <c r="D91" s="1" t="s">
        <v>987</v>
      </c>
      <c r="E91" s="1"/>
      <c r="F91" s="1" t="s">
        <v>988</v>
      </c>
      <c r="G91" s="1" t="s">
        <v>580</v>
      </c>
      <c r="H91" s="1" t="s">
        <v>915</v>
      </c>
      <c r="I91" s="1" t="s">
        <v>989</v>
      </c>
      <c r="J91" s="1" t="s">
        <v>990</v>
      </c>
      <c r="M91" s="2" t="s">
        <v>49</v>
      </c>
      <c r="N91" s="8" t="s">
        <v>991</v>
      </c>
      <c r="O91" s="9" t="s">
        <v>687</v>
      </c>
      <c r="P91" s="1" t="s">
        <v>992</v>
      </c>
      <c r="Q91" s="1" t="s">
        <v>65</v>
      </c>
      <c r="T91" s="1" t="s">
        <v>80</v>
      </c>
      <c r="U91" s="1"/>
      <c r="V91" s="1" t="s">
        <v>94</v>
      </c>
      <c r="W91" s="1">
        <v>2017.0</v>
      </c>
      <c r="X91" s="1">
        <v>2024.0</v>
      </c>
    </row>
    <row r="92">
      <c r="A92" s="1">
        <v>90.0</v>
      </c>
      <c r="B92" s="2" t="s">
        <v>646</v>
      </c>
      <c r="C92" s="2" t="s">
        <v>222</v>
      </c>
      <c r="D92" s="2" t="s">
        <v>40</v>
      </c>
      <c r="E92" s="2"/>
      <c r="F92" s="2" t="s">
        <v>719</v>
      </c>
      <c r="G92" s="1" t="s">
        <v>720</v>
      </c>
      <c r="H92" s="2"/>
      <c r="I92" s="1" t="s">
        <v>993</v>
      </c>
      <c r="J92" s="1" t="s">
        <v>529</v>
      </c>
      <c r="K92" s="2" t="s">
        <v>46</v>
      </c>
      <c r="L92" s="2" t="s">
        <v>721</v>
      </c>
      <c r="M92" s="2" t="s">
        <v>49</v>
      </c>
      <c r="N92" s="6" t="s">
        <v>722</v>
      </c>
      <c r="O92" s="9" t="s">
        <v>687</v>
      </c>
      <c r="P92" s="2" t="s">
        <v>727</v>
      </c>
      <c r="Q92" s="2" t="s">
        <v>77</v>
      </c>
      <c r="R92" s="1" t="s">
        <v>368</v>
      </c>
      <c r="S92" s="15" t="s">
        <v>369</v>
      </c>
      <c r="T92" s="2" t="s">
        <v>125</v>
      </c>
      <c r="U92" s="2"/>
      <c r="V92" s="2" t="s">
        <v>269</v>
      </c>
      <c r="W92" s="2">
        <v>1990.0</v>
      </c>
      <c r="X92" s="2">
        <v>2018.0</v>
      </c>
    </row>
    <row r="93">
      <c r="A93" s="1">
        <v>91.0</v>
      </c>
      <c r="B93" s="2" t="s">
        <v>646</v>
      </c>
      <c r="C93" s="2" t="s">
        <v>222</v>
      </c>
      <c r="D93" s="2" t="s">
        <v>696</v>
      </c>
      <c r="E93" s="2"/>
      <c r="F93" s="2" t="s">
        <v>697</v>
      </c>
      <c r="G93" s="2" t="s">
        <v>698</v>
      </c>
      <c r="H93" s="2"/>
      <c r="I93" s="2"/>
      <c r="J93" s="2"/>
      <c r="K93" s="2" t="s">
        <v>46</v>
      </c>
      <c r="L93" s="2" t="s">
        <v>247</v>
      </c>
      <c r="M93" s="2" t="s">
        <v>49</v>
      </c>
      <c r="N93" s="6" t="s">
        <v>700</v>
      </c>
      <c r="O93" s="9" t="s">
        <v>687</v>
      </c>
      <c r="P93" s="2" t="s">
        <v>707</v>
      </c>
      <c r="Q93" s="2" t="s">
        <v>77</v>
      </c>
      <c r="R93" s="1" t="s">
        <v>256</v>
      </c>
      <c r="S93" s="15" t="s">
        <v>257</v>
      </c>
      <c r="T93" s="2" t="s">
        <v>80</v>
      </c>
      <c r="U93" s="2"/>
      <c r="V93" s="2" t="s">
        <v>94</v>
      </c>
      <c r="W93" s="2">
        <v>1975.0</v>
      </c>
      <c r="X93" s="2">
        <v>2030.0</v>
      </c>
    </row>
    <row r="94">
      <c r="A94" s="1">
        <v>92.0</v>
      </c>
      <c r="B94" s="2" t="s">
        <v>646</v>
      </c>
      <c r="C94" s="2" t="s">
        <v>222</v>
      </c>
      <c r="D94" s="2" t="s">
        <v>696</v>
      </c>
      <c r="E94" s="2"/>
      <c r="F94" s="1" t="s">
        <v>711</v>
      </c>
      <c r="G94" s="1" t="s">
        <v>712</v>
      </c>
      <c r="H94" s="2"/>
      <c r="I94" s="2"/>
      <c r="J94" s="2"/>
      <c r="K94" s="2" t="s">
        <v>46</v>
      </c>
      <c r="L94" s="2" t="s">
        <v>247</v>
      </c>
      <c r="M94" s="2" t="s">
        <v>49</v>
      </c>
      <c r="N94" s="2" t="s">
        <v>700</v>
      </c>
      <c r="O94" s="9" t="s">
        <v>687</v>
      </c>
      <c r="P94" s="2" t="s">
        <v>707</v>
      </c>
      <c r="Q94" s="2" t="s">
        <v>77</v>
      </c>
      <c r="R94" s="1" t="s">
        <v>256</v>
      </c>
      <c r="S94" s="15" t="s">
        <v>257</v>
      </c>
      <c r="T94" s="2" t="s">
        <v>80</v>
      </c>
      <c r="U94" s="2"/>
      <c r="V94" s="2" t="s">
        <v>94</v>
      </c>
      <c r="W94" s="2">
        <v>1975.0</v>
      </c>
      <c r="X94" s="2">
        <v>2030.0</v>
      </c>
    </row>
    <row r="95">
      <c r="A95" s="1">
        <v>93.0</v>
      </c>
      <c r="B95" s="1" t="s">
        <v>646</v>
      </c>
      <c r="C95" s="1" t="s">
        <v>222</v>
      </c>
      <c r="D95" s="1" t="s">
        <v>696</v>
      </c>
      <c r="E95" s="1"/>
      <c r="F95" s="1" t="s">
        <v>831</v>
      </c>
      <c r="G95" s="1" t="s">
        <v>832</v>
      </c>
      <c r="K95" s="1" t="s">
        <v>46</v>
      </c>
      <c r="N95" s="8" t="s">
        <v>833</v>
      </c>
      <c r="O95" s="9" t="s">
        <v>687</v>
      </c>
      <c r="S95" s="15"/>
    </row>
    <row r="96">
      <c r="A96" s="1">
        <v>94.0</v>
      </c>
      <c r="B96" s="1" t="s">
        <v>646</v>
      </c>
      <c r="C96" s="1" t="s">
        <v>222</v>
      </c>
      <c r="D96" s="1" t="s">
        <v>696</v>
      </c>
      <c r="E96" s="1"/>
      <c r="F96" s="16" t="s">
        <v>994</v>
      </c>
      <c r="G96" s="1" t="s">
        <v>995</v>
      </c>
      <c r="N96" s="8" t="s">
        <v>996</v>
      </c>
      <c r="O96" s="9" t="s">
        <v>687</v>
      </c>
    </row>
    <row r="97">
      <c r="A97" s="1">
        <v>95.0</v>
      </c>
      <c r="B97" s="1" t="s">
        <v>646</v>
      </c>
      <c r="C97" s="1" t="s">
        <v>222</v>
      </c>
      <c r="D97" s="1" t="s">
        <v>696</v>
      </c>
      <c r="E97" s="1"/>
      <c r="F97" s="1" t="s">
        <v>997</v>
      </c>
      <c r="G97" s="1" t="s">
        <v>998</v>
      </c>
      <c r="O97" s="9" t="s">
        <v>687</v>
      </c>
    </row>
    <row r="98" ht="15.0" customHeight="1">
      <c r="A98" s="1">
        <v>96.0</v>
      </c>
      <c r="B98" s="1" t="s">
        <v>646</v>
      </c>
      <c r="C98" s="1" t="s">
        <v>222</v>
      </c>
      <c r="D98" s="1" t="s">
        <v>155</v>
      </c>
      <c r="E98" s="1"/>
      <c r="F98" s="1" t="s">
        <v>854</v>
      </c>
      <c r="G98" s="1" t="s">
        <v>855</v>
      </c>
      <c r="H98" s="1"/>
      <c r="I98" s="1" t="s">
        <v>101</v>
      </c>
      <c r="J98" s="1"/>
      <c r="K98" s="1" t="s">
        <v>46</v>
      </c>
      <c r="O98" s="9" t="s">
        <v>687</v>
      </c>
      <c r="S98" s="15"/>
    </row>
    <row r="99">
      <c r="A99" s="1">
        <v>97.0</v>
      </c>
      <c r="B99" s="1" t="s">
        <v>646</v>
      </c>
      <c r="C99" s="1" t="s">
        <v>222</v>
      </c>
      <c r="D99" s="1" t="s">
        <v>155</v>
      </c>
      <c r="E99" s="1"/>
      <c r="F99" s="1" t="s">
        <v>871</v>
      </c>
      <c r="G99" s="1" t="s">
        <v>872</v>
      </c>
      <c r="H99" s="1"/>
      <c r="I99" s="1" t="s">
        <v>999</v>
      </c>
      <c r="J99" s="1"/>
      <c r="K99" s="1" t="s">
        <v>46</v>
      </c>
      <c r="O99" s="9" t="s">
        <v>687</v>
      </c>
      <c r="S99" s="15"/>
    </row>
    <row r="100" ht="22.5" customHeight="1">
      <c r="A100" s="1">
        <v>98.0</v>
      </c>
      <c r="B100" s="1" t="s">
        <v>646</v>
      </c>
      <c r="C100" s="1" t="s">
        <v>222</v>
      </c>
      <c r="D100" s="1" t="s">
        <v>155</v>
      </c>
      <c r="E100" s="1"/>
      <c r="F100" s="1" t="s">
        <v>561</v>
      </c>
      <c r="G100" s="1" t="s">
        <v>561</v>
      </c>
      <c r="H100" s="1"/>
      <c r="I100" s="1" t="s">
        <v>104</v>
      </c>
      <c r="J100" s="1"/>
      <c r="K100" s="1" t="s">
        <v>46</v>
      </c>
      <c r="O100" s="9" t="s">
        <v>687</v>
      </c>
      <c r="S100" s="15"/>
    </row>
    <row r="101" ht="14.25" customHeight="1">
      <c r="A101" s="1">
        <v>99.0</v>
      </c>
      <c r="B101" s="1" t="s">
        <v>646</v>
      </c>
      <c r="C101" s="1" t="s">
        <v>222</v>
      </c>
      <c r="D101" s="1" t="s">
        <v>155</v>
      </c>
      <c r="E101" s="1"/>
      <c r="F101" s="1" t="s">
        <v>1000</v>
      </c>
      <c r="G101" s="1" t="s">
        <v>461</v>
      </c>
      <c r="I101" s="1" t="s">
        <v>141</v>
      </c>
      <c r="J101" s="1"/>
      <c r="K101" s="1" t="s">
        <v>46</v>
      </c>
      <c r="O101" s="9" t="s">
        <v>687</v>
      </c>
      <c r="S101" s="15"/>
    </row>
    <row r="102">
      <c r="A102" s="1">
        <v>100.0</v>
      </c>
      <c r="B102" s="1" t="s">
        <v>646</v>
      </c>
      <c r="C102" s="1" t="s">
        <v>222</v>
      </c>
      <c r="D102" s="1" t="s">
        <v>155</v>
      </c>
      <c r="E102" s="1"/>
      <c r="F102" s="1" t="s">
        <v>1001</v>
      </c>
      <c r="G102" s="1" t="s">
        <v>1002</v>
      </c>
      <c r="I102" s="1" t="s">
        <v>104</v>
      </c>
      <c r="O102" s="9" t="s">
        <v>687</v>
      </c>
    </row>
    <row r="103">
      <c r="A103" s="1">
        <v>101.0</v>
      </c>
      <c r="B103" s="1" t="s">
        <v>646</v>
      </c>
      <c r="C103" s="1" t="s">
        <v>222</v>
      </c>
      <c r="D103" s="1" t="s">
        <v>155</v>
      </c>
      <c r="E103" s="1"/>
      <c r="F103" s="1" t="s">
        <v>1003</v>
      </c>
      <c r="G103" s="1" t="s">
        <v>1004</v>
      </c>
      <c r="N103" s="17"/>
      <c r="O103" s="9" t="s">
        <v>687</v>
      </c>
    </row>
    <row r="104">
      <c r="A104" s="1">
        <v>102.0</v>
      </c>
      <c r="B104" s="1" t="s">
        <v>646</v>
      </c>
      <c r="C104" s="1" t="s">
        <v>222</v>
      </c>
      <c r="D104" s="1" t="s">
        <v>155</v>
      </c>
      <c r="E104" s="1"/>
      <c r="F104" s="1" t="s">
        <v>264</v>
      </c>
      <c r="G104" s="1" t="s">
        <v>264</v>
      </c>
      <c r="H104" s="1" t="s">
        <v>1005</v>
      </c>
      <c r="I104" s="1" t="s">
        <v>1006</v>
      </c>
      <c r="N104" s="1" t="s">
        <v>1007</v>
      </c>
      <c r="O104" s="9" t="s">
        <v>687</v>
      </c>
      <c r="R104" s="1" t="s">
        <v>86</v>
      </c>
      <c r="S104" s="1" t="s">
        <v>87</v>
      </c>
      <c r="T104" s="1" t="s">
        <v>242</v>
      </c>
      <c r="U104" s="1"/>
      <c r="V104" s="1" t="s">
        <v>81</v>
      </c>
      <c r="W104" s="1">
        <v>2010.0</v>
      </c>
      <c r="X104" s="1">
        <v>2010.0</v>
      </c>
    </row>
    <row r="105">
      <c r="A105" s="1">
        <v>103.0</v>
      </c>
      <c r="B105" s="1" t="s">
        <v>646</v>
      </c>
      <c r="C105" s="1" t="s">
        <v>222</v>
      </c>
      <c r="D105" s="1" t="s">
        <v>155</v>
      </c>
      <c r="E105" s="1"/>
      <c r="F105" s="1" t="s">
        <v>1008</v>
      </c>
      <c r="G105" s="1" t="s">
        <v>1008</v>
      </c>
      <c r="O105" s="9" t="s">
        <v>687</v>
      </c>
      <c r="T105" s="1" t="s">
        <v>242</v>
      </c>
      <c r="U105" s="1"/>
    </row>
    <row r="106">
      <c r="A106" s="1">
        <v>104.0</v>
      </c>
      <c r="B106" s="1" t="s">
        <v>646</v>
      </c>
      <c r="C106" s="1" t="s">
        <v>222</v>
      </c>
      <c r="D106" s="1" t="s">
        <v>155</v>
      </c>
      <c r="E106" s="1"/>
      <c r="F106" s="1" t="s">
        <v>1009</v>
      </c>
      <c r="G106" s="1" t="s">
        <v>1010</v>
      </c>
      <c r="I106" s="1" t="s">
        <v>1011</v>
      </c>
      <c r="J106" s="1" t="s">
        <v>174</v>
      </c>
      <c r="N106" s="8" t="s">
        <v>1012</v>
      </c>
      <c r="O106" s="9" t="s">
        <v>687</v>
      </c>
      <c r="T106" s="1" t="s">
        <v>80</v>
      </c>
      <c r="U106" s="1"/>
      <c r="W106" s="1">
        <v>2017.0</v>
      </c>
      <c r="X106" s="1">
        <v>2017.0</v>
      </c>
    </row>
    <row r="107">
      <c r="A107" s="1">
        <v>105.0</v>
      </c>
      <c r="B107" s="1" t="s">
        <v>646</v>
      </c>
      <c r="C107" s="1" t="s">
        <v>222</v>
      </c>
      <c r="D107" s="1" t="s">
        <v>155</v>
      </c>
      <c r="E107" s="1"/>
      <c r="F107" s="1" t="s">
        <v>1013</v>
      </c>
      <c r="G107" s="1" t="s">
        <v>1013</v>
      </c>
      <c r="I107" s="1" t="s">
        <v>50</v>
      </c>
      <c r="O107" s="9" t="s">
        <v>687</v>
      </c>
      <c r="R107" s="1" t="s">
        <v>1014</v>
      </c>
      <c r="S107" s="1" t="s">
        <v>1015</v>
      </c>
    </row>
    <row r="108">
      <c r="A108" s="1">
        <v>106.0</v>
      </c>
      <c r="B108" s="1" t="s">
        <v>646</v>
      </c>
      <c r="C108" s="1" t="s">
        <v>222</v>
      </c>
      <c r="D108" s="1" t="s">
        <v>155</v>
      </c>
      <c r="E108" s="1"/>
      <c r="F108" s="1" t="s">
        <v>1016</v>
      </c>
      <c r="G108" s="1" t="s">
        <v>1016</v>
      </c>
      <c r="I108" s="1" t="s">
        <v>1017</v>
      </c>
      <c r="O108" s="9" t="s">
        <v>687</v>
      </c>
    </row>
    <row r="109">
      <c r="A109" s="1">
        <v>107.0</v>
      </c>
      <c r="B109" s="1" t="s">
        <v>646</v>
      </c>
      <c r="C109" s="1" t="s">
        <v>222</v>
      </c>
      <c r="D109" s="1" t="s">
        <v>155</v>
      </c>
      <c r="E109" s="1"/>
      <c r="F109" s="1" t="s">
        <v>1018</v>
      </c>
      <c r="G109" s="1" t="s">
        <v>1019</v>
      </c>
      <c r="I109" s="1" t="s">
        <v>1020</v>
      </c>
      <c r="O109" s="9" t="s">
        <v>687</v>
      </c>
    </row>
    <row r="110">
      <c r="A110" s="1">
        <v>108.0</v>
      </c>
      <c r="B110" s="1" t="s">
        <v>646</v>
      </c>
      <c r="C110" s="1" t="s">
        <v>222</v>
      </c>
      <c r="D110" s="1" t="s">
        <v>155</v>
      </c>
      <c r="E110" s="1"/>
      <c r="F110" s="1" t="s">
        <v>1021</v>
      </c>
      <c r="G110" s="1" t="s">
        <v>1021</v>
      </c>
      <c r="I110" s="1" t="s">
        <v>1022</v>
      </c>
      <c r="O110" s="9" t="s">
        <v>687</v>
      </c>
    </row>
    <row r="111">
      <c r="A111" s="1">
        <v>109.0</v>
      </c>
      <c r="B111" s="1" t="s">
        <v>646</v>
      </c>
      <c r="C111" s="1" t="s">
        <v>222</v>
      </c>
      <c r="D111" s="1" t="s">
        <v>155</v>
      </c>
      <c r="E111" s="1"/>
      <c r="F111" s="1" t="s">
        <v>1023</v>
      </c>
      <c r="G111" s="1" t="s">
        <v>1024</v>
      </c>
      <c r="O111" s="9" t="s">
        <v>687</v>
      </c>
    </row>
    <row r="112">
      <c r="A112" s="1">
        <v>110.0</v>
      </c>
      <c r="B112" s="1" t="s">
        <v>646</v>
      </c>
      <c r="C112" s="1" t="s">
        <v>222</v>
      </c>
      <c r="D112" s="1" t="s">
        <v>155</v>
      </c>
      <c r="E112" s="1"/>
      <c r="F112" s="1" t="s">
        <v>1025</v>
      </c>
      <c r="G112" s="1" t="s">
        <v>1026</v>
      </c>
      <c r="I112" s="1" t="s">
        <v>137</v>
      </c>
      <c r="O112" s="9" t="s">
        <v>687</v>
      </c>
    </row>
    <row r="113">
      <c r="A113" s="1">
        <v>111.0</v>
      </c>
      <c r="B113" s="1" t="s">
        <v>646</v>
      </c>
      <c r="C113" s="1" t="s">
        <v>222</v>
      </c>
      <c r="D113" s="1" t="s">
        <v>155</v>
      </c>
      <c r="E113" s="1"/>
      <c r="F113" s="1" t="s">
        <v>1027</v>
      </c>
      <c r="G113" s="1" t="s">
        <v>1028</v>
      </c>
      <c r="I113" s="1" t="s">
        <v>137</v>
      </c>
      <c r="O113" s="9" t="s">
        <v>687</v>
      </c>
    </row>
    <row r="114">
      <c r="A114" s="1">
        <v>112.0</v>
      </c>
      <c r="B114" s="1" t="s">
        <v>646</v>
      </c>
      <c r="C114" s="1" t="s">
        <v>222</v>
      </c>
      <c r="D114" s="1" t="s">
        <v>155</v>
      </c>
      <c r="E114" s="1"/>
      <c r="F114" s="1" t="s">
        <v>1029</v>
      </c>
      <c r="G114" s="1" t="s">
        <v>915</v>
      </c>
      <c r="H114" s="1" t="s">
        <v>1030</v>
      </c>
      <c r="I114" s="1" t="s">
        <v>1031</v>
      </c>
      <c r="O114" s="9" t="s">
        <v>687</v>
      </c>
    </row>
    <row r="115">
      <c r="A115" s="1">
        <v>113.0</v>
      </c>
      <c r="B115" s="1" t="s">
        <v>646</v>
      </c>
      <c r="C115" s="1" t="s">
        <v>222</v>
      </c>
      <c r="D115" s="1" t="s">
        <v>155</v>
      </c>
      <c r="E115" s="1"/>
      <c r="F115" s="1" t="s">
        <v>1032</v>
      </c>
      <c r="G115" s="1" t="s">
        <v>1033</v>
      </c>
      <c r="I115" s="1" t="s">
        <v>96</v>
      </c>
      <c r="O115" s="9" t="s">
        <v>687</v>
      </c>
    </row>
    <row r="116">
      <c r="A116" s="1">
        <v>114.0</v>
      </c>
      <c r="B116" s="2" t="s">
        <v>646</v>
      </c>
      <c r="C116" s="2" t="s">
        <v>222</v>
      </c>
      <c r="D116" s="2" t="s">
        <v>684</v>
      </c>
      <c r="E116" s="2"/>
      <c r="F116" s="2" t="s">
        <v>685</v>
      </c>
      <c r="G116" s="2" t="s">
        <v>686</v>
      </c>
      <c r="H116" s="2"/>
      <c r="I116" s="2"/>
      <c r="J116" s="2"/>
      <c r="K116" s="2" t="s">
        <v>46</v>
      </c>
      <c r="L116" s="2" t="s">
        <v>673</v>
      </c>
      <c r="M116" s="2" t="s">
        <v>49</v>
      </c>
      <c r="N116" s="6" t="s">
        <v>691</v>
      </c>
      <c r="O116" s="9" t="s">
        <v>687</v>
      </c>
      <c r="P116" s="2" t="s">
        <v>693</v>
      </c>
      <c r="Q116" s="2" t="s">
        <v>77</v>
      </c>
      <c r="R116" s="1" t="s">
        <v>256</v>
      </c>
      <c r="S116" s="15" t="s">
        <v>257</v>
      </c>
      <c r="T116" s="2" t="s">
        <v>80</v>
      </c>
      <c r="U116" s="2"/>
      <c r="V116" s="2">
        <v>5.0</v>
      </c>
      <c r="W116" s="2">
        <v>1975.0</v>
      </c>
      <c r="X116" s="2">
        <v>2030.0</v>
      </c>
    </row>
    <row r="117">
      <c r="A117" s="1">
        <v>115.0</v>
      </c>
      <c r="B117" s="2" t="s">
        <v>646</v>
      </c>
      <c r="C117" s="2" t="s">
        <v>222</v>
      </c>
      <c r="D117" s="2" t="s">
        <v>684</v>
      </c>
      <c r="E117" s="2"/>
      <c r="F117" s="2" t="s">
        <v>733</v>
      </c>
      <c r="G117" s="2" t="s">
        <v>734</v>
      </c>
      <c r="H117" s="2"/>
      <c r="I117" s="1" t="s">
        <v>137</v>
      </c>
      <c r="J117" s="2"/>
      <c r="K117" s="2" t="s">
        <v>46</v>
      </c>
      <c r="L117" s="2"/>
      <c r="M117" s="2" t="s">
        <v>49</v>
      </c>
      <c r="N117" s="6" t="s">
        <v>735</v>
      </c>
      <c r="O117" s="9" t="s">
        <v>687</v>
      </c>
      <c r="P117" s="2" t="s">
        <v>739</v>
      </c>
      <c r="Q117" s="2" t="s">
        <v>77</v>
      </c>
      <c r="R117" s="1" t="s">
        <v>1034</v>
      </c>
      <c r="S117" s="15" t="s">
        <v>741</v>
      </c>
      <c r="T117" s="2" t="s">
        <v>80</v>
      </c>
      <c r="U117" s="2"/>
      <c r="V117" s="2" t="s">
        <v>81</v>
      </c>
      <c r="W117" s="2">
        <v>2020.0</v>
      </c>
      <c r="X117" s="2">
        <v>2020.0</v>
      </c>
    </row>
    <row r="118">
      <c r="A118" s="1">
        <v>116.0</v>
      </c>
      <c r="B118" s="2" t="s">
        <v>646</v>
      </c>
      <c r="C118" s="2" t="s">
        <v>222</v>
      </c>
      <c r="D118" s="2" t="s">
        <v>684</v>
      </c>
      <c r="E118" s="2"/>
      <c r="F118" s="2" t="s">
        <v>742</v>
      </c>
      <c r="G118" s="2" t="s">
        <v>743</v>
      </c>
      <c r="H118" s="2"/>
      <c r="I118" s="1" t="s">
        <v>1035</v>
      </c>
      <c r="J118" s="2"/>
      <c r="K118" s="2" t="s">
        <v>46</v>
      </c>
      <c r="L118" s="2" t="s">
        <v>530</v>
      </c>
      <c r="M118" s="2" t="s">
        <v>49</v>
      </c>
      <c r="N118" s="6" t="s">
        <v>746</v>
      </c>
      <c r="O118" s="9" t="s">
        <v>687</v>
      </c>
      <c r="P118" s="6" t="s">
        <v>752</v>
      </c>
      <c r="Q118" s="2" t="s">
        <v>325</v>
      </c>
      <c r="R118" s="1" t="s">
        <v>1036</v>
      </c>
      <c r="S118" s="15" t="s">
        <v>760</v>
      </c>
      <c r="T118" s="2" t="s">
        <v>125</v>
      </c>
      <c r="U118" s="2"/>
      <c r="V118" s="2" t="s">
        <v>81</v>
      </c>
      <c r="W118" s="2">
        <v>2015.0</v>
      </c>
      <c r="X118" s="2">
        <v>2015.0</v>
      </c>
    </row>
    <row r="119">
      <c r="A119" s="1">
        <v>117.0</v>
      </c>
      <c r="B119" s="1" t="s">
        <v>646</v>
      </c>
      <c r="C119" s="1" t="s">
        <v>222</v>
      </c>
      <c r="D119" s="1" t="s">
        <v>684</v>
      </c>
      <c r="E119" s="1"/>
      <c r="F119" s="1" t="s">
        <v>838</v>
      </c>
      <c r="G119" s="1" t="s">
        <v>839</v>
      </c>
      <c r="K119" s="1" t="s">
        <v>46</v>
      </c>
      <c r="O119" s="9" t="s">
        <v>687</v>
      </c>
      <c r="S119" s="15"/>
    </row>
    <row r="120">
      <c r="A120" s="1">
        <v>118.0</v>
      </c>
      <c r="B120" s="1" t="s">
        <v>646</v>
      </c>
      <c r="C120" s="1" t="s">
        <v>222</v>
      </c>
      <c r="D120" s="1" t="s">
        <v>684</v>
      </c>
      <c r="E120" s="1"/>
      <c r="F120" s="1" t="s">
        <v>1037</v>
      </c>
      <c r="G120" s="1" t="s">
        <v>1038</v>
      </c>
      <c r="O120" s="9" t="s">
        <v>687</v>
      </c>
    </row>
    <row r="121">
      <c r="A121" s="1">
        <v>119.0</v>
      </c>
      <c r="B121" s="1" t="s">
        <v>646</v>
      </c>
      <c r="C121" s="1" t="s">
        <v>222</v>
      </c>
      <c r="D121" s="1" t="s">
        <v>875</v>
      </c>
      <c r="E121" s="1"/>
      <c r="F121" s="1" t="s">
        <v>876</v>
      </c>
      <c r="G121" s="1" t="s">
        <v>1039</v>
      </c>
      <c r="H121" s="1"/>
      <c r="I121" s="1" t="s">
        <v>1040</v>
      </c>
      <c r="J121" s="1"/>
      <c r="K121" s="1" t="s">
        <v>46</v>
      </c>
      <c r="N121" s="8" t="s">
        <v>878</v>
      </c>
      <c r="O121" s="9" t="s">
        <v>687</v>
      </c>
      <c r="S121" s="15"/>
    </row>
    <row r="122">
      <c r="A122" s="1">
        <v>120.0</v>
      </c>
      <c r="B122" s="2" t="s">
        <v>646</v>
      </c>
      <c r="C122" s="2" t="s">
        <v>762</v>
      </c>
      <c r="D122" s="2" t="s">
        <v>763</v>
      </c>
      <c r="E122" s="2"/>
      <c r="F122" s="2" t="s">
        <v>764</v>
      </c>
      <c r="G122" s="2" t="s">
        <v>765</v>
      </c>
      <c r="K122" s="2" t="s">
        <v>46</v>
      </c>
      <c r="M122" s="2" t="s">
        <v>49</v>
      </c>
      <c r="N122" s="6" t="s">
        <v>766</v>
      </c>
      <c r="O122" s="9" t="s">
        <v>687</v>
      </c>
      <c r="P122" s="2" t="s">
        <v>769</v>
      </c>
      <c r="Q122" s="2" t="s">
        <v>77</v>
      </c>
      <c r="R122" s="1" t="s">
        <v>431</v>
      </c>
      <c r="S122" s="15" t="s">
        <v>432</v>
      </c>
      <c r="T122" s="2" t="s">
        <v>80</v>
      </c>
      <c r="U122" s="2"/>
      <c r="V122" s="2" t="s">
        <v>81</v>
      </c>
      <c r="W122" s="2">
        <v>1995.0</v>
      </c>
      <c r="X122" s="2">
        <v>1995.0</v>
      </c>
    </row>
    <row r="123">
      <c r="A123" s="1">
        <v>121.0</v>
      </c>
      <c r="B123" s="2" t="s">
        <v>646</v>
      </c>
      <c r="C123" s="2" t="s">
        <v>762</v>
      </c>
      <c r="D123" s="1" t="s">
        <v>771</v>
      </c>
      <c r="E123" s="1"/>
      <c r="F123" s="2" t="s">
        <v>772</v>
      </c>
      <c r="G123" s="2" t="s">
        <v>773</v>
      </c>
      <c r="I123" s="1" t="s">
        <v>101</v>
      </c>
      <c r="K123" s="2" t="s">
        <v>46</v>
      </c>
      <c r="L123" s="2" t="s">
        <v>1041</v>
      </c>
      <c r="M123" s="2" t="s">
        <v>49</v>
      </c>
      <c r="N123" s="6" t="s">
        <v>777</v>
      </c>
      <c r="O123" s="9" t="s">
        <v>687</v>
      </c>
      <c r="P123" s="2" t="s">
        <v>781</v>
      </c>
      <c r="Q123" s="2" t="s">
        <v>77</v>
      </c>
      <c r="R123" s="1" t="s">
        <v>522</v>
      </c>
      <c r="S123" s="15" t="s">
        <v>523</v>
      </c>
      <c r="T123" s="2" t="s">
        <v>80</v>
      </c>
      <c r="U123" s="2"/>
      <c r="V123" s="2" t="s">
        <v>94</v>
      </c>
      <c r="W123" s="2">
        <v>2001.0</v>
      </c>
      <c r="X123" s="2">
        <v>2025.0</v>
      </c>
    </row>
    <row r="124">
      <c r="A124" s="1">
        <v>122.0</v>
      </c>
      <c r="B124" s="1" t="s">
        <v>646</v>
      </c>
      <c r="C124" s="1" t="s">
        <v>762</v>
      </c>
      <c r="D124" s="1" t="s">
        <v>771</v>
      </c>
      <c r="E124" s="1"/>
      <c r="F124" s="1" t="s">
        <v>852</v>
      </c>
      <c r="G124" s="1" t="s">
        <v>191</v>
      </c>
      <c r="N124" s="8" t="s">
        <v>853</v>
      </c>
      <c r="O124" s="9" t="s">
        <v>687</v>
      </c>
      <c r="S124" s="15"/>
    </row>
    <row r="125">
      <c r="A125" s="1">
        <v>123.0</v>
      </c>
      <c r="B125" s="2" t="s">
        <v>646</v>
      </c>
      <c r="C125" s="2" t="s">
        <v>785</v>
      </c>
      <c r="D125" s="2" t="s">
        <v>808</v>
      </c>
      <c r="E125" s="2"/>
      <c r="F125" s="2" t="s">
        <v>809</v>
      </c>
      <c r="G125" s="2" t="s">
        <v>810</v>
      </c>
      <c r="K125" s="2" t="s">
        <v>46</v>
      </c>
      <c r="L125" s="2" t="s">
        <v>811</v>
      </c>
      <c r="M125" s="2" t="s">
        <v>49</v>
      </c>
      <c r="N125" s="6" t="s">
        <v>812</v>
      </c>
      <c r="O125" s="9" t="s">
        <v>687</v>
      </c>
      <c r="Q125" s="2" t="s">
        <v>413</v>
      </c>
      <c r="R125" s="1" t="s">
        <v>256</v>
      </c>
      <c r="S125" s="15" t="s">
        <v>257</v>
      </c>
      <c r="T125" s="2" t="s">
        <v>80</v>
      </c>
      <c r="U125" s="2"/>
      <c r="V125" s="2" t="s">
        <v>81</v>
      </c>
      <c r="W125" s="2">
        <v>2023.0</v>
      </c>
      <c r="X125" s="2">
        <v>2023.0</v>
      </c>
    </row>
    <row r="126">
      <c r="A126" s="1">
        <v>124.0</v>
      </c>
      <c r="B126" s="2" t="s">
        <v>646</v>
      </c>
      <c r="C126" s="2" t="s">
        <v>785</v>
      </c>
      <c r="D126" s="2" t="s">
        <v>801</v>
      </c>
      <c r="E126" s="2"/>
      <c r="F126" s="2" t="s">
        <v>802</v>
      </c>
      <c r="G126" s="2" t="s">
        <v>803</v>
      </c>
      <c r="K126" s="2" t="s">
        <v>46</v>
      </c>
      <c r="M126" s="2" t="s">
        <v>49</v>
      </c>
      <c r="N126" s="6" t="s">
        <v>804</v>
      </c>
      <c r="O126" s="9" t="s">
        <v>687</v>
      </c>
      <c r="Q126" s="2" t="s">
        <v>413</v>
      </c>
      <c r="R126" s="1" t="s">
        <v>256</v>
      </c>
      <c r="S126" s="15" t="s">
        <v>257</v>
      </c>
      <c r="T126" s="2" t="s">
        <v>80</v>
      </c>
      <c r="U126" s="2"/>
      <c r="V126" s="2" t="s">
        <v>81</v>
      </c>
      <c r="W126" s="2">
        <v>2023.0</v>
      </c>
      <c r="X126" s="2">
        <v>2023.0</v>
      </c>
    </row>
    <row r="127">
      <c r="A127" s="1">
        <v>125.0</v>
      </c>
      <c r="B127" s="2" t="s">
        <v>646</v>
      </c>
      <c r="C127" s="2" t="s">
        <v>785</v>
      </c>
      <c r="D127" s="2" t="s">
        <v>155</v>
      </c>
      <c r="E127" s="2"/>
      <c r="F127" s="2" t="s">
        <v>786</v>
      </c>
      <c r="G127" s="1" t="s">
        <v>1042</v>
      </c>
      <c r="J127" s="1" t="s">
        <v>1043</v>
      </c>
      <c r="K127" s="2" t="s">
        <v>46</v>
      </c>
      <c r="L127" s="2" t="s">
        <v>788</v>
      </c>
      <c r="M127" s="2" t="s">
        <v>49</v>
      </c>
      <c r="N127" s="6" t="s">
        <v>790</v>
      </c>
      <c r="O127" s="9" t="s">
        <v>687</v>
      </c>
      <c r="Q127" s="2" t="s">
        <v>77</v>
      </c>
      <c r="R127" s="1" t="s">
        <v>709</v>
      </c>
      <c r="S127" s="15" t="s">
        <v>710</v>
      </c>
      <c r="T127" s="2" t="s">
        <v>80</v>
      </c>
      <c r="U127" s="2"/>
      <c r="V127" s="2" t="s">
        <v>81</v>
      </c>
      <c r="W127" s="2">
        <v>2006.0</v>
      </c>
      <c r="X127" s="2">
        <v>2006.0</v>
      </c>
    </row>
    <row r="128">
      <c r="A128" s="1">
        <v>126.0</v>
      </c>
      <c r="B128" s="2" t="s">
        <v>646</v>
      </c>
      <c r="C128" s="2" t="s">
        <v>785</v>
      </c>
      <c r="D128" s="2" t="s">
        <v>155</v>
      </c>
      <c r="E128" s="2"/>
      <c r="F128" s="2" t="s">
        <v>794</v>
      </c>
      <c r="G128" s="2" t="s">
        <v>795</v>
      </c>
      <c r="K128" s="2" t="s">
        <v>46</v>
      </c>
      <c r="L128" s="2" t="s">
        <v>95</v>
      </c>
      <c r="M128" s="2" t="s">
        <v>49</v>
      </c>
      <c r="N128" s="6" t="s">
        <v>799</v>
      </c>
      <c r="O128" s="9" t="s">
        <v>687</v>
      </c>
      <c r="Q128" s="2" t="s">
        <v>413</v>
      </c>
      <c r="R128" s="1" t="s">
        <v>256</v>
      </c>
      <c r="S128" s="15" t="s">
        <v>257</v>
      </c>
      <c r="T128" s="2" t="s">
        <v>80</v>
      </c>
      <c r="U128" s="2"/>
      <c r="V128" s="2" t="s">
        <v>81</v>
      </c>
      <c r="W128" s="2">
        <v>2023.0</v>
      </c>
      <c r="X128" s="2">
        <v>2023.0</v>
      </c>
    </row>
    <row r="129">
      <c r="A129" s="1">
        <v>127.0</v>
      </c>
      <c r="B129" s="2" t="s">
        <v>646</v>
      </c>
      <c r="C129" s="2" t="s">
        <v>785</v>
      </c>
      <c r="D129" s="2" t="s">
        <v>155</v>
      </c>
      <c r="E129" s="2"/>
      <c r="F129" s="2" t="s">
        <v>821</v>
      </c>
      <c r="G129" s="2" t="s">
        <v>822</v>
      </c>
      <c r="J129" s="1" t="s">
        <v>188</v>
      </c>
      <c r="K129" s="2" t="s">
        <v>46</v>
      </c>
      <c r="M129" s="1" t="s">
        <v>65</v>
      </c>
      <c r="N129" s="6" t="s">
        <v>824</v>
      </c>
      <c r="O129" s="9" t="s">
        <v>687</v>
      </c>
      <c r="P129" s="2" t="s">
        <v>827</v>
      </c>
      <c r="Q129" s="2" t="s">
        <v>77</v>
      </c>
      <c r="R129" s="1" t="s">
        <v>256</v>
      </c>
      <c r="S129" s="15" t="s">
        <v>257</v>
      </c>
      <c r="T129" s="2" t="s">
        <v>125</v>
      </c>
      <c r="U129" s="2"/>
      <c r="V129" s="2" t="s">
        <v>81</v>
      </c>
      <c r="W129" s="2">
        <v>2009.0</v>
      </c>
      <c r="X129" s="2">
        <v>2009.0</v>
      </c>
    </row>
    <row r="130">
      <c r="A130" s="1">
        <v>134.0</v>
      </c>
      <c r="B130" s="1" t="s">
        <v>646</v>
      </c>
      <c r="C130" s="1" t="s">
        <v>222</v>
      </c>
      <c r="D130" s="1" t="s">
        <v>155</v>
      </c>
      <c r="G130" s="1" t="s">
        <v>703</v>
      </c>
      <c r="I130" s="1" t="s">
        <v>71</v>
      </c>
      <c r="O130" s="9" t="s">
        <v>687</v>
      </c>
    </row>
    <row r="131">
      <c r="A131" s="1">
        <v>128.0</v>
      </c>
      <c r="B131" s="1" t="s">
        <v>1044</v>
      </c>
      <c r="C131" s="1" t="s">
        <v>130</v>
      </c>
      <c r="D131" s="1" t="s">
        <v>276</v>
      </c>
      <c r="E131" s="1"/>
      <c r="F131" s="1" t="s">
        <v>1045</v>
      </c>
      <c r="G131" s="1" t="s">
        <v>1045</v>
      </c>
      <c r="J131" s="1" t="s">
        <v>72</v>
      </c>
      <c r="K131" s="1" t="s">
        <v>46</v>
      </c>
      <c r="N131" s="8" t="s">
        <v>1046</v>
      </c>
      <c r="O131" s="9" t="s">
        <v>687</v>
      </c>
    </row>
    <row r="132">
      <c r="A132" s="1">
        <v>129.0</v>
      </c>
      <c r="B132" s="1" t="s">
        <v>1044</v>
      </c>
      <c r="F132" s="1" t="s">
        <v>1047</v>
      </c>
      <c r="G132" s="1" t="s">
        <v>916</v>
      </c>
      <c r="J132" s="1" t="s">
        <v>198</v>
      </c>
      <c r="O132" s="9" t="s">
        <v>687</v>
      </c>
    </row>
    <row r="133">
      <c r="A133" s="1">
        <v>130.0</v>
      </c>
      <c r="B133" s="1" t="s">
        <v>1044</v>
      </c>
      <c r="F133" s="1" t="s">
        <v>1048</v>
      </c>
      <c r="G133" s="1" t="s">
        <v>1049</v>
      </c>
      <c r="H133" s="1" t="s">
        <v>1050</v>
      </c>
      <c r="O133" s="9" t="s">
        <v>687</v>
      </c>
    </row>
    <row r="134">
      <c r="A134" s="1">
        <v>131.0</v>
      </c>
      <c r="B134" s="1" t="s">
        <v>1044</v>
      </c>
      <c r="F134" s="1" t="s">
        <v>1051</v>
      </c>
      <c r="G134" s="1" t="s">
        <v>1050</v>
      </c>
      <c r="J134" s="1" t="s">
        <v>198</v>
      </c>
      <c r="O134" s="9" t="s">
        <v>687</v>
      </c>
    </row>
    <row r="135">
      <c r="A135" s="1">
        <v>132.0</v>
      </c>
      <c r="B135" s="1" t="s">
        <v>1044</v>
      </c>
      <c r="F135" s="1" t="s">
        <v>1052</v>
      </c>
      <c r="G135" s="1" t="s">
        <v>1053</v>
      </c>
      <c r="J135" s="1" t="s">
        <v>127</v>
      </c>
      <c r="O135" s="9" t="s">
        <v>687</v>
      </c>
    </row>
    <row r="136">
      <c r="A136" s="1">
        <v>133.0</v>
      </c>
      <c r="B136" s="1" t="s">
        <v>1044</v>
      </c>
      <c r="F136" s="1" t="s">
        <v>1054</v>
      </c>
      <c r="G136" s="1" t="s">
        <v>1055</v>
      </c>
      <c r="O136" s="9" t="s">
        <v>687</v>
      </c>
    </row>
  </sheetData>
  <autoFilter ref="$A$1:$Y$978">
    <sortState ref="A1:Y978">
      <sortCondition ref="B1:B978"/>
      <sortCondition ref="E1:E978"/>
    </sortState>
  </autoFilter>
  <hyperlinks>
    <hyperlink r:id="rId1" ref="N2"/>
    <hyperlink r:id="rId2" ref="N3"/>
    <hyperlink r:id="rId3" ref="N4"/>
    <hyperlink r:id="rId4" ref="N5"/>
    <hyperlink r:id="rId5" ref="N6"/>
    <hyperlink r:id="rId6" ref="N7"/>
    <hyperlink r:id="rId7" ref="N8"/>
    <hyperlink r:id="rId8" ref="N9"/>
    <hyperlink r:id="rId9" ref="P9"/>
    <hyperlink r:id="rId10" ref="N10"/>
    <hyperlink r:id="rId11" ref="N11"/>
    <hyperlink r:id="rId12" ref="N12"/>
    <hyperlink r:id="rId13" ref="N13"/>
    <hyperlink r:id="rId14" ref="N14"/>
    <hyperlink r:id="rId15" ref="N15"/>
    <hyperlink r:id="rId16" location="Sec13" ref="N16"/>
    <hyperlink r:id="rId17" ref="N17"/>
    <hyperlink r:id="rId18" ref="N18"/>
    <hyperlink r:id="rId19" ref="N19"/>
    <hyperlink r:id="rId20" ref="N20"/>
    <hyperlink r:id="rId21" ref="N21"/>
    <hyperlink r:id="rId22" ref="N22"/>
    <hyperlink r:id="rId23" ref="N23"/>
    <hyperlink r:id="rId24" ref="N24"/>
    <hyperlink r:id="rId25" ref="N25"/>
    <hyperlink r:id="rId26" ref="N26"/>
    <hyperlink r:id="rId27" ref="N27"/>
    <hyperlink r:id="rId28" ref="N28"/>
    <hyperlink r:id="rId29" ref="N29"/>
    <hyperlink r:id="rId30" ref="N30"/>
    <hyperlink r:id="rId31" ref="N31"/>
    <hyperlink r:id="rId32" ref="N32"/>
    <hyperlink r:id="rId33" ref="N33"/>
    <hyperlink r:id="rId34" location="readme" ref="N34"/>
    <hyperlink r:id="rId35" ref="N35"/>
    <hyperlink r:id="rId36" location=".YqlfS3ZBy5d" ref="N36"/>
    <hyperlink r:id="rId37" ref="N37"/>
    <hyperlink r:id="rId38" location="data/RFN" ref="N38"/>
    <hyperlink r:id="rId39" location="data/ESB" ref="N39"/>
    <hyperlink r:id="rId40" ref="N40"/>
    <hyperlink r:id="rId41" ref="N41"/>
    <hyperlink r:id="rId42" location="/metadata/edbbd466-b845-4e4c-acf9-905ec5e28766" ref="N42"/>
    <hyperlink r:id="rId43" ref="N43"/>
    <hyperlink r:id="rId44" ref="N44"/>
    <hyperlink r:id="rId45" ref="N45"/>
    <hyperlink r:id="rId46" ref="N46"/>
    <hyperlink r:id="rId47" ref="N47"/>
    <hyperlink r:id="rId48" location="dataset-preprocessing" ref="N48"/>
    <hyperlink r:id="rId49" ref="N49"/>
    <hyperlink r:id="rId50" ref="N50"/>
    <hyperlink r:id="rId51" ref="N51"/>
    <hyperlink r:id="rId52" ref="N52"/>
    <hyperlink r:id="rId53" ref="Y52"/>
    <hyperlink r:id="rId54" ref="N53"/>
    <hyperlink r:id="rId55" ref="N54"/>
    <hyperlink r:id="rId56" ref="N55"/>
    <hyperlink r:id="rId57" ref="N56"/>
    <hyperlink r:id="rId58" ref="N57"/>
    <hyperlink r:id="rId59" ref="N58"/>
    <hyperlink r:id="rId60" ref="N59"/>
    <hyperlink r:id="rId61" ref="N60"/>
    <hyperlink r:id="rId62" ref="N61"/>
    <hyperlink r:id="rId63" ref="N62"/>
    <hyperlink r:id="rId64" ref="N63"/>
    <hyperlink r:id="rId65" ref="N64"/>
    <hyperlink r:id="rId66" location="/metadata/b3ea4f87-3472-4c29-9724-78585b416188" ref="N65"/>
    <hyperlink r:id="rId67" ref="N66"/>
    <hyperlink r:id="rId68" location="data/EK" ref="N67"/>
    <hyperlink r:id="rId69" ref="N68"/>
    <hyperlink r:id="rId70" ref="N69"/>
    <hyperlink r:id="rId71" ref="N70"/>
    <hyperlink r:id="rId72" ref="N71"/>
    <hyperlink r:id="rId73" ref="N72"/>
    <hyperlink r:id="rId74" location="data/RP" ref="N73"/>
    <hyperlink r:id="rId75" ref="N74"/>
    <hyperlink r:id="rId76" ref="N75"/>
    <hyperlink r:id="rId77" ref="N76"/>
    <hyperlink r:id="rId78" ref="N80"/>
    <hyperlink r:id="rId79" ref="N83"/>
    <hyperlink r:id="rId80" ref="N84"/>
    <hyperlink r:id="rId81" ref="N85"/>
    <hyperlink r:id="rId82" ref="N86"/>
    <hyperlink r:id="rId83" location="Sec8" ref="N87"/>
    <hyperlink r:id="rId84" ref="N88"/>
    <hyperlink r:id="rId85" location="Sec2" ref="N89"/>
    <hyperlink r:id="rId86" location="s0010" ref="N90"/>
    <hyperlink r:id="rId87" ref="N91"/>
    <hyperlink r:id="rId88" ref="N92"/>
    <hyperlink r:id="rId89" ref="N93"/>
    <hyperlink r:id="rId90" ref="N95"/>
    <hyperlink r:id="rId91" location="Sec2" ref="N96"/>
    <hyperlink r:id="rId92" location="/metadata/edbbd466-b845-4e4c-acf9-905ec5e28766" ref="N103"/>
    <hyperlink r:id="rId93" ref="N106"/>
    <hyperlink r:id="rId94" ref="N116"/>
    <hyperlink r:id="rId95" ref="N117"/>
    <hyperlink r:id="rId96" ref="N118"/>
    <hyperlink r:id="rId97" ref="P118"/>
    <hyperlink r:id="rId98" ref="N121"/>
    <hyperlink r:id="rId99" ref="N122"/>
    <hyperlink r:id="rId100" ref="N123"/>
    <hyperlink r:id="rId101" ref="N124"/>
    <hyperlink r:id="rId102" ref="N125"/>
    <hyperlink r:id="rId103" ref="N126"/>
    <hyperlink r:id="rId104" ref="N127"/>
    <hyperlink r:id="rId105" ref="N128"/>
    <hyperlink r:id="rId106" ref="N129"/>
    <hyperlink r:id="rId107" ref="N131"/>
  </hyperlinks>
  <drawing r:id="rId10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3</v>
      </c>
      <c r="D1" s="1" t="s">
        <v>4</v>
      </c>
    </row>
    <row r="2">
      <c r="A2" s="1" t="s">
        <v>7</v>
      </c>
      <c r="B2" s="1" t="s">
        <v>9</v>
      </c>
      <c r="C2" s="1" t="s">
        <v>7</v>
      </c>
      <c r="D2" s="1" t="s">
        <v>12</v>
      </c>
    </row>
    <row r="3">
      <c r="A3" s="1" t="s">
        <v>15</v>
      </c>
      <c r="B3" s="1" t="s">
        <v>9</v>
      </c>
      <c r="C3" s="1" t="str">
        <f t="shared" ref="C3:C4" si="1">LEFT(A3,FIND("-",A3) - 1)</f>
        <v>Deimos</v>
      </c>
    </row>
    <row r="4">
      <c r="A4" s="1" t="s">
        <v>45</v>
      </c>
      <c r="B4" s="1" t="s">
        <v>9</v>
      </c>
      <c r="C4" s="1" t="str">
        <f t="shared" si="1"/>
        <v>Deimos</v>
      </c>
    </row>
    <row r="5">
      <c r="A5" s="1" t="s">
        <v>50</v>
      </c>
      <c r="B5" s="1" t="s">
        <v>9</v>
      </c>
      <c r="C5" s="1" t="s">
        <v>50</v>
      </c>
      <c r="D5" s="1" t="s">
        <v>53</v>
      </c>
    </row>
    <row r="6">
      <c r="A6" s="1" t="s">
        <v>54</v>
      </c>
      <c r="B6" s="1" t="s">
        <v>9</v>
      </c>
      <c r="C6" s="1" t="s">
        <v>54</v>
      </c>
      <c r="D6" s="1" t="s">
        <v>53</v>
      </c>
    </row>
    <row r="7">
      <c r="A7" s="1" t="s">
        <v>55</v>
      </c>
      <c r="B7" s="1" t="s">
        <v>9</v>
      </c>
      <c r="C7" s="1" t="s">
        <v>55</v>
      </c>
    </row>
    <row r="8">
      <c r="A8" s="1" t="s">
        <v>56</v>
      </c>
      <c r="B8" s="1" t="s">
        <v>9</v>
      </c>
      <c r="C8" s="1" t="s">
        <v>57</v>
      </c>
    </row>
    <row r="9">
      <c r="A9" s="1" t="s">
        <v>58</v>
      </c>
      <c r="B9" s="1" t="s">
        <v>9</v>
      </c>
      <c r="C9" s="1" t="str">
        <f t="shared" ref="C9:C12" si="2">LEFT(A9,FIND("-",A9) - 1)</f>
        <v>HJ</v>
      </c>
    </row>
    <row r="10">
      <c r="A10" s="1" t="s">
        <v>63</v>
      </c>
      <c r="B10" s="1" t="s">
        <v>9</v>
      </c>
      <c r="C10" s="1" t="str">
        <f t="shared" si="2"/>
        <v>HJ</v>
      </c>
    </row>
    <row r="11">
      <c r="A11" s="1" t="s">
        <v>66</v>
      </c>
      <c r="B11" s="1" t="s">
        <v>9</v>
      </c>
      <c r="C11" s="5" t="str">
        <f t="shared" si="2"/>
        <v>IRS</v>
      </c>
      <c r="D11" s="1" t="s">
        <v>69</v>
      </c>
    </row>
    <row r="12">
      <c r="A12" s="1" t="s">
        <v>70</v>
      </c>
      <c r="B12" s="1" t="s">
        <v>9</v>
      </c>
      <c r="C12" s="5" t="str">
        <f t="shared" si="2"/>
        <v>IRS</v>
      </c>
      <c r="D12" s="1" t="s">
        <v>69</v>
      </c>
    </row>
    <row r="13">
      <c r="A13" s="1" t="s">
        <v>71</v>
      </c>
      <c r="B13" s="1" t="s">
        <v>9</v>
      </c>
      <c r="C13" s="1" t="s">
        <v>71</v>
      </c>
      <c r="D13" s="1" t="s">
        <v>72</v>
      </c>
    </row>
    <row r="14">
      <c r="A14" s="1" t="s">
        <v>73</v>
      </c>
      <c r="B14" s="1" t="s">
        <v>9</v>
      </c>
      <c r="C14" s="1" t="s">
        <v>71</v>
      </c>
      <c r="D14" s="1" t="s">
        <v>72</v>
      </c>
    </row>
    <row r="15">
      <c r="A15" s="1" t="s">
        <v>74</v>
      </c>
      <c r="B15" s="1" t="s">
        <v>9</v>
      </c>
      <c r="C15" s="1" t="s">
        <v>71</v>
      </c>
      <c r="D15" s="1" t="s">
        <v>72</v>
      </c>
    </row>
    <row r="16">
      <c r="A16" s="1" t="s">
        <v>74</v>
      </c>
      <c r="B16" s="1" t="s">
        <v>9</v>
      </c>
      <c r="C16" s="1" t="s">
        <v>71</v>
      </c>
      <c r="D16" s="1" t="s">
        <v>72</v>
      </c>
    </row>
    <row r="17">
      <c r="A17" s="1" t="s">
        <v>76</v>
      </c>
      <c r="B17" s="1" t="s">
        <v>9</v>
      </c>
      <c r="C17" s="1" t="s">
        <v>71</v>
      </c>
      <c r="D17" s="1" t="s">
        <v>72</v>
      </c>
    </row>
    <row r="18">
      <c r="A18" s="1" t="s">
        <v>76</v>
      </c>
      <c r="B18" s="1" t="s">
        <v>9</v>
      </c>
      <c r="C18" s="1" t="s">
        <v>71</v>
      </c>
      <c r="D18" s="1" t="s">
        <v>72</v>
      </c>
    </row>
    <row r="19">
      <c r="A19" s="1" t="s">
        <v>82</v>
      </c>
      <c r="B19" s="1" t="s">
        <v>9</v>
      </c>
      <c r="C19" s="1" t="s">
        <v>71</v>
      </c>
      <c r="D19" s="1" t="s">
        <v>72</v>
      </c>
    </row>
    <row r="20">
      <c r="A20" s="1" t="s">
        <v>82</v>
      </c>
      <c r="B20" s="1" t="s">
        <v>9</v>
      </c>
      <c r="C20" s="1" t="s">
        <v>71</v>
      </c>
      <c r="D20" s="1" t="s">
        <v>72</v>
      </c>
    </row>
    <row r="21">
      <c r="A21" s="1" t="s">
        <v>90</v>
      </c>
      <c r="B21" s="1" t="s">
        <v>9</v>
      </c>
      <c r="C21" s="1" t="s">
        <v>71</v>
      </c>
      <c r="D21" s="1" t="s">
        <v>72</v>
      </c>
    </row>
    <row r="22">
      <c r="A22" s="1" t="s">
        <v>96</v>
      </c>
      <c r="B22" s="1" t="s">
        <v>9</v>
      </c>
      <c r="C22" s="1" t="s">
        <v>71</v>
      </c>
      <c r="D22" s="1" t="s">
        <v>72</v>
      </c>
    </row>
    <row r="23">
      <c r="A23" s="1" t="s">
        <v>99</v>
      </c>
      <c r="B23" s="1" t="s">
        <v>9</v>
      </c>
      <c r="C23" s="1" t="s">
        <v>71</v>
      </c>
      <c r="D23" s="1" t="s">
        <v>72</v>
      </c>
    </row>
    <row r="24">
      <c r="A24" s="1" t="s">
        <v>101</v>
      </c>
      <c r="B24" s="1" t="s">
        <v>9</v>
      </c>
      <c r="C24" s="1" t="s">
        <v>72</v>
      </c>
      <c r="D24" s="1" t="s">
        <v>72</v>
      </c>
    </row>
    <row r="25">
      <c r="A25" s="1" t="s">
        <v>104</v>
      </c>
      <c r="B25" s="1" t="s">
        <v>9</v>
      </c>
      <c r="C25" s="1" t="s">
        <v>106</v>
      </c>
      <c r="D25" s="1" t="s">
        <v>106</v>
      </c>
    </row>
    <row r="26">
      <c r="A26" s="1" t="s">
        <v>107</v>
      </c>
      <c r="B26" s="1" t="s">
        <v>9</v>
      </c>
      <c r="C26" s="5" t="str">
        <f t="shared" ref="C26:C27" si="3">LEFT(A26,FIND("-",A26) - 1)</f>
        <v>NOAA</v>
      </c>
      <c r="D26" s="1" t="s">
        <v>106</v>
      </c>
    </row>
    <row r="27">
      <c r="A27" s="1" t="s">
        <v>109</v>
      </c>
      <c r="B27" s="1" t="s">
        <v>9</v>
      </c>
      <c r="C27" s="5" t="str">
        <f t="shared" si="3"/>
        <v>NOAA</v>
      </c>
      <c r="D27" s="1" t="s">
        <v>106</v>
      </c>
    </row>
    <row r="28">
      <c r="A28" s="1" t="s">
        <v>110</v>
      </c>
      <c r="B28" s="1" t="s">
        <v>9</v>
      </c>
      <c r="C28" s="1" t="s">
        <v>111</v>
      </c>
    </row>
    <row r="29">
      <c r="A29" s="1" t="s">
        <v>112</v>
      </c>
      <c r="B29" s="1" t="s">
        <v>9</v>
      </c>
      <c r="C29" s="1" t="s">
        <v>112</v>
      </c>
      <c r="D29" s="1" t="s">
        <v>113</v>
      </c>
    </row>
    <row r="30">
      <c r="A30" s="1" t="s">
        <v>114</v>
      </c>
      <c r="B30" s="1" t="s">
        <v>9</v>
      </c>
      <c r="C30" s="5" t="str">
        <f>LEFT(A30,FIND("-",A30) - 1)</f>
        <v>RADARSAT</v>
      </c>
      <c r="D30" s="1" t="s">
        <v>113</v>
      </c>
    </row>
    <row r="31">
      <c r="A31" s="1" t="s">
        <v>118</v>
      </c>
      <c r="B31" s="1" t="s">
        <v>9</v>
      </c>
      <c r="C31" s="1" t="s">
        <v>118</v>
      </c>
    </row>
    <row r="32">
      <c r="A32" s="1" t="s">
        <v>124</v>
      </c>
      <c r="B32" s="1" t="s">
        <v>9</v>
      </c>
      <c r="C32" s="5" t="str">
        <f t="shared" ref="C32:C35" si="4">LEFT(A32,FIND("-",A32) - 1)</f>
        <v>ResourceSat</v>
      </c>
      <c r="D32" s="1" t="s">
        <v>69</v>
      </c>
    </row>
    <row r="33">
      <c r="A33" s="1" t="s">
        <v>129</v>
      </c>
      <c r="B33" s="1" t="s">
        <v>9</v>
      </c>
      <c r="C33" s="5" t="str">
        <f t="shared" si="4"/>
        <v>ResourceSat</v>
      </c>
      <c r="D33" s="1" t="s">
        <v>69</v>
      </c>
    </row>
    <row r="34">
      <c r="A34" s="1" t="s">
        <v>133</v>
      </c>
      <c r="B34" s="1" t="s">
        <v>9</v>
      </c>
      <c r="C34" s="5" t="str">
        <f t="shared" si="4"/>
        <v>Sentinel</v>
      </c>
    </row>
    <row r="35">
      <c r="A35" s="1" t="s">
        <v>137</v>
      </c>
      <c r="B35" s="1" t="s">
        <v>9</v>
      </c>
      <c r="C35" s="5" t="str">
        <f t="shared" si="4"/>
        <v>Sentinel</v>
      </c>
    </row>
    <row r="36">
      <c r="A36" s="1" t="s">
        <v>139</v>
      </c>
      <c r="B36" s="1" t="s">
        <v>9</v>
      </c>
      <c r="C36" s="1" t="s">
        <v>139</v>
      </c>
    </row>
    <row r="37">
      <c r="A37" s="1" t="s">
        <v>141</v>
      </c>
      <c r="B37" s="1" t="s">
        <v>9</v>
      </c>
      <c r="C37" s="1" t="s">
        <v>139</v>
      </c>
    </row>
    <row r="38">
      <c r="A38" s="1" t="s">
        <v>142</v>
      </c>
      <c r="B38" s="1" t="s">
        <v>9</v>
      </c>
      <c r="C38" s="1" t="s">
        <v>139</v>
      </c>
    </row>
    <row r="39">
      <c r="A39" s="1" t="s">
        <v>143</v>
      </c>
      <c r="B39" s="1" t="s">
        <v>9</v>
      </c>
      <c r="C39" s="1" t="s">
        <v>139</v>
      </c>
    </row>
    <row r="40">
      <c r="A40" s="1" t="s">
        <v>145</v>
      </c>
      <c r="B40" s="1" t="s">
        <v>9</v>
      </c>
      <c r="C40" s="1" t="s">
        <v>139</v>
      </c>
    </row>
    <row r="41">
      <c r="A41" s="1" t="s">
        <v>146</v>
      </c>
      <c r="B41" s="1" t="s">
        <v>9</v>
      </c>
      <c r="C41" s="1" t="s">
        <v>148</v>
      </c>
      <c r="D41" s="1" t="s">
        <v>148</v>
      </c>
    </row>
    <row r="42">
      <c r="A42" s="1" t="s">
        <v>150</v>
      </c>
      <c r="B42" s="1" t="s">
        <v>9</v>
      </c>
      <c r="C42" s="1" t="s">
        <v>152</v>
      </c>
    </row>
    <row r="43">
      <c r="A43" s="1" t="s">
        <v>153</v>
      </c>
      <c r="B43" s="1" t="s">
        <v>9</v>
      </c>
      <c r="C43" s="5" t="str">
        <f t="shared" ref="C43:C44" si="5">LEFT(A43,FIND("-",A43) - 1)</f>
        <v>Worldview</v>
      </c>
      <c r="D43" s="1" t="s">
        <v>158</v>
      </c>
    </row>
    <row r="44">
      <c r="A44" s="1" t="s">
        <v>159</v>
      </c>
      <c r="B44" s="1" t="s">
        <v>9</v>
      </c>
      <c r="C44" s="5" t="str">
        <f t="shared" si="5"/>
        <v>Worldview</v>
      </c>
      <c r="D44" s="1" t="s">
        <v>158</v>
      </c>
    </row>
    <row r="45">
      <c r="A45" s="1" t="s">
        <v>161</v>
      </c>
      <c r="B45" s="1" t="s">
        <v>32</v>
      </c>
      <c r="C45" s="1" t="s">
        <v>163</v>
      </c>
    </row>
    <row r="46">
      <c r="A46" s="1" t="s">
        <v>164</v>
      </c>
      <c r="B46" s="1" t="s">
        <v>32</v>
      </c>
      <c r="C46" s="1" t="s">
        <v>163</v>
      </c>
      <c r="D46" s="1" t="s">
        <v>166</v>
      </c>
    </row>
    <row r="47">
      <c r="A47" s="1" t="s">
        <v>168</v>
      </c>
      <c r="B47" s="1" t="s">
        <v>32</v>
      </c>
    </row>
    <row r="48">
      <c r="A48" s="1" t="s">
        <v>170</v>
      </c>
      <c r="B48" s="1" t="s">
        <v>32</v>
      </c>
    </row>
    <row r="49">
      <c r="A49" s="1" t="s">
        <v>171</v>
      </c>
      <c r="B49" s="1" t="s">
        <v>32</v>
      </c>
    </row>
    <row r="50">
      <c r="A50" s="1" t="s">
        <v>172</v>
      </c>
      <c r="B50" s="1" t="s">
        <v>32</v>
      </c>
      <c r="C50" s="1" t="s">
        <v>172</v>
      </c>
      <c r="D50" s="1" t="s">
        <v>127</v>
      </c>
    </row>
    <row r="51">
      <c r="A51" s="1" t="s">
        <v>163</v>
      </c>
      <c r="B51" s="1" t="s">
        <v>32</v>
      </c>
      <c r="C51" s="1" t="s">
        <v>163</v>
      </c>
      <c r="D51" s="1" t="s">
        <v>166</v>
      </c>
    </row>
    <row r="52">
      <c r="A52" s="1" t="s">
        <v>173</v>
      </c>
      <c r="B52" s="1" t="s">
        <v>32</v>
      </c>
      <c r="C52" s="1" t="s">
        <v>163</v>
      </c>
      <c r="D52" s="1" t="s">
        <v>166</v>
      </c>
    </row>
    <row r="53">
      <c r="A53" s="1" t="s">
        <v>174</v>
      </c>
      <c r="B53" s="1" t="s">
        <v>32</v>
      </c>
      <c r="C53" s="1" t="s">
        <v>163</v>
      </c>
      <c r="D53" s="1" t="s">
        <v>166</v>
      </c>
    </row>
    <row r="54">
      <c r="A54" s="1" t="s">
        <v>175</v>
      </c>
      <c r="B54" s="1" t="s">
        <v>32</v>
      </c>
      <c r="C54" s="1" t="s">
        <v>163</v>
      </c>
    </row>
    <row r="55">
      <c r="A55" s="1" t="s">
        <v>178</v>
      </c>
      <c r="B55" s="1" t="s">
        <v>32</v>
      </c>
    </row>
    <row r="56">
      <c r="A56" s="1" t="s">
        <v>180</v>
      </c>
      <c r="B56" s="1" t="s">
        <v>32</v>
      </c>
      <c r="C56" s="1" t="s">
        <v>127</v>
      </c>
    </row>
    <row r="57">
      <c r="A57" s="1" t="s">
        <v>182</v>
      </c>
      <c r="B57" s="1" t="s">
        <v>32</v>
      </c>
      <c r="C57" s="1" t="s">
        <v>183</v>
      </c>
    </row>
    <row r="58">
      <c r="A58" s="1" t="s">
        <v>183</v>
      </c>
      <c r="B58" s="1" t="s">
        <v>32</v>
      </c>
      <c r="C58" s="1" t="s">
        <v>183</v>
      </c>
      <c r="D58" s="1" t="s">
        <v>183</v>
      </c>
    </row>
    <row r="59">
      <c r="A59" s="1" t="s">
        <v>187</v>
      </c>
      <c r="B59" s="1" t="s">
        <v>32</v>
      </c>
    </row>
    <row r="60">
      <c r="A60" s="1" t="s">
        <v>188</v>
      </c>
      <c r="B60" s="1" t="s">
        <v>32</v>
      </c>
      <c r="C60" s="1" t="s">
        <v>172</v>
      </c>
      <c r="D60" s="1" t="s">
        <v>127</v>
      </c>
    </row>
    <row r="61">
      <c r="A61" s="1" t="s">
        <v>191</v>
      </c>
      <c r="B61" s="1" t="s">
        <v>32</v>
      </c>
    </row>
    <row r="62">
      <c r="A62" s="1" t="s">
        <v>192</v>
      </c>
      <c r="B62" s="1" t="s">
        <v>32</v>
      </c>
    </row>
    <row r="63">
      <c r="A63" s="1" t="s">
        <v>193</v>
      </c>
      <c r="B63" s="1" t="s">
        <v>32</v>
      </c>
    </row>
    <row r="64">
      <c r="A64" s="1" t="s">
        <v>195</v>
      </c>
      <c r="B64" s="1" t="s">
        <v>32</v>
      </c>
      <c r="C64" s="1" t="s">
        <v>106</v>
      </c>
      <c r="D64" s="1" t="s">
        <v>196</v>
      </c>
    </row>
    <row r="65">
      <c r="A65" s="1" t="s">
        <v>197</v>
      </c>
      <c r="B65" s="1" t="s">
        <v>32</v>
      </c>
      <c r="C65" s="1" t="s">
        <v>197</v>
      </c>
    </row>
    <row r="66">
      <c r="A66" s="1" t="s">
        <v>166</v>
      </c>
      <c r="B66" s="1" t="s">
        <v>32</v>
      </c>
      <c r="C66" s="1" t="s">
        <v>166</v>
      </c>
      <c r="D66" s="1" t="s">
        <v>166</v>
      </c>
    </row>
    <row r="67">
      <c r="A67" s="1" t="s">
        <v>198</v>
      </c>
      <c r="B67" s="1" t="s">
        <v>32</v>
      </c>
      <c r="C67" s="1" t="s">
        <v>198</v>
      </c>
      <c r="D67" s="1" t="s">
        <v>196</v>
      </c>
    </row>
    <row r="68">
      <c r="A68" s="1" t="s">
        <v>199</v>
      </c>
      <c r="B68" s="1" t="s">
        <v>32</v>
      </c>
      <c r="C68" s="1" t="s">
        <v>198</v>
      </c>
      <c r="D68" s="1" t="s">
        <v>196</v>
      </c>
    </row>
    <row r="69">
      <c r="A69" s="1" t="s">
        <v>200</v>
      </c>
      <c r="B69" s="1" t="s">
        <v>32</v>
      </c>
      <c r="C69" s="1" t="s">
        <v>200</v>
      </c>
      <c r="D69" s="1" t="s">
        <v>196</v>
      </c>
    </row>
    <row r="70">
      <c r="A70" s="1" t="s">
        <v>202</v>
      </c>
      <c r="B70" s="1" t="s">
        <v>32</v>
      </c>
      <c r="C70" s="1" t="s">
        <v>200</v>
      </c>
      <c r="D70" s="1" t="s">
        <v>196</v>
      </c>
    </row>
    <row r="71">
      <c r="A71" s="1" t="s">
        <v>204</v>
      </c>
      <c r="B71" s="1" t="s">
        <v>32</v>
      </c>
      <c r="C71" s="1" t="s">
        <v>205</v>
      </c>
    </row>
    <row r="72">
      <c r="A72" s="1" t="s">
        <v>206</v>
      </c>
      <c r="B72" s="1" t="s">
        <v>32</v>
      </c>
      <c r="C72" s="1" t="s">
        <v>206</v>
      </c>
    </row>
  </sheetData>
  <autoFilter ref="$A$1:$D$994">
    <sortState ref="A1:D994">
      <sortCondition ref="B1:B994"/>
      <sortCondition ref="A1:A994"/>
    </sortState>
  </autoFilter>
  <drawing r:id="rId1"/>
</worksheet>
</file>