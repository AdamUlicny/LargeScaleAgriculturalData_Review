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orted" sheetId="1" state="visible" r:id="rId3"/>
    <sheet name="Inputs" sheetId="2" state="visible" r:id="rId4"/>
  </sheets>
  <definedNames>
    <definedName function="false" hidden="true" localSheetId="1" name="_xlnm._FilterDatabase" vbProcedure="false">Inputs!$A$1:$D$994</definedName>
    <definedName function="false" hidden="true" localSheetId="0" name="_xlnm._FilterDatabase" vbProcedure="false">Sorted!$A$1:$Y$978</definedName>
  </definedName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<sst xmlns="http://schemas.openxmlformats.org/spreadsheetml/2006/main" count="2281" uniqueCount="876">
  <si>
    <t xml:space="preserve">ID</t>
  </si>
  <si>
    <t xml:space="preserve">focus</t>
  </si>
  <si>
    <t xml:space="preserve">landUse</t>
  </si>
  <si>
    <t xml:space="preserve">metric</t>
  </si>
  <si>
    <t xml:space="preserve">category</t>
  </si>
  <si>
    <t xml:space="preserve">name</t>
  </si>
  <si>
    <t xml:space="preserve">nameShort</t>
  </si>
  <si>
    <t xml:space="preserve">inputMap</t>
  </si>
  <si>
    <t xml:space="preserve">inputRemote</t>
  </si>
  <si>
    <t xml:space="preserve">inputStat</t>
  </si>
  <si>
    <t xml:space="preserve">dataType</t>
  </si>
  <si>
    <t xml:space="preserve">dataSize</t>
  </si>
  <si>
    <t xml:space="preserve">license</t>
  </si>
  <si>
    <t xml:space="preserve">link</t>
  </si>
  <si>
    <t xml:space="preserve">citationShort</t>
  </si>
  <si>
    <t xml:space="preserve">citation</t>
  </si>
  <si>
    <t xml:space="preserve">format</t>
  </si>
  <si>
    <t xml:space="preserve">resolutionSpatial</t>
  </si>
  <si>
    <t xml:space="preserve">resolutionKm</t>
  </si>
  <si>
    <t xml:space="preserve">continent</t>
  </si>
  <si>
    <t xml:space="preserve">extentSpatial</t>
  </si>
  <si>
    <t xml:space="preserve">timeStep</t>
  </si>
  <si>
    <t xml:space="preserve">temporalStart</t>
  </si>
  <si>
    <t xml:space="preserve">temporalEnd</t>
  </si>
  <si>
    <t xml:space="preserve">notes</t>
  </si>
  <si>
    <t xml:space="preserve">agriculture</t>
  </si>
  <si>
    <t xml:space="preserve">cropland</t>
  </si>
  <si>
    <t xml:space="preserve">croptype</t>
  </si>
  <si>
    <t xml:space="preserve">Combined Agroecosystem</t>
  </si>
  <si>
    <t xml:space="preserve">Canada AAFC Annual Crop Inventory</t>
  </si>
  <si>
    <t xml:space="preserve">Canada ACI</t>
  </si>
  <si>
    <t xml:space="preserve">Landsat-5, RADARSAT-2, ResourceSat-2</t>
  </si>
  <si>
    <t xml:space="preserve">raster</t>
  </si>
  <si>
    <t xml:space="preserve">?</t>
  </si>
  <si>
    <t xml:space="preserve">OGL-Canada-2.0</t>
  </si>
  <si>
    <t xml:space="preserve">https://developers.google.com/earth-engine/datasets/catalog/AAFC_ACI</t>
  </si>
  <si>
    <t xml:space="preserve">AAF Canada, 2025</t>
  </si>
  <si>
    <t xml:space="preserve">AAF Canada. Annual Crop Inventory. 2025.</t>
  </si>
  <si>
    <t xml:space="preserve">GeoTIFF</t>
  </si>
  <si>
    <t xml:space="preserve">30 m</t>
  </si>
  <si>
    <t xml:space="preserve">0.03</t>
  </si>
  <si>
    <t xml:space="preserve">North America</t>
  </si>
  <si>
    <t xml:space="preserve">Canada</t>
  </si>
  <si>
    <t xml:space="preserve">annual</t>
  </si>
  <si>
    <t xml:space="preserve">EUCROPMAP</t>
  </si>
  <si>
    <t xml:space="preserve">Sentinel-1, Sentinel-2</t>
  </si>
  <si>
    <t xml:space="preserve">LUCAS, EUROSTAT</t>
  </si>
  <si>
    <t xml:space="preserve">7 GB</t>
  </si>
  <si>
    <t xml:space="preserve">CC BY 4.0</t>
  </si>
  <si>
    <t xml:space="preserve">https://data.jrc.ec.europa.eu/dataset/15f86c84-eae1-4723-8e00-c1b35c8f56b9</t>
  </si>
  <si>
    <t xml:space="preserve">D'andrimont et al., 2021</t>
  </si>
  <si>
    <t xml:space="preserve">R. D'andrimont, A. Verhegghen, G. Lemoine, et al. &amp;ldquo;From Parcel to Continental Scale - A First European Crop Type Map Based on Sentinel-1 and LUCAS Copernicus in-Situ Observations&amp;rdquo;. In: REMOTE SENSING OF ENVIRONMENT (2021). ISSN: 0034-4257. DOI: 10.1016/j.rse.2021.112708. (Visited on 06/05/2026).</t>
  </si>
  <si>
    <t xml:space="preserve">10 m</t>
  </si>
  <si>
    <t xml:space="preserve">0.01</t>
  </si>
  <si>
    <t xml:space="preserve">Europe</t>
  </si>
  <si>
    <t xml:space="preserve">EU</t>
  </si>
  <si>
    <t xml:space="preserve">4 year</t>
  </si>
  <si>
    <t xml:space="preserve">farmland</t>
  </si>
  <si>
    <t xml:space="preserve">extent</t>
  </si>
  <si>
    <t xml:space="preserve">Global Cropland and Grassland 2006</t>
  </si>
  <si>
    <t xml:space="preserve">GCG 2006</t>
  </si>
  <si>
    <t xml:space="preserve">GLC2000, DISCover</t>
  </si>
  <si>
    <t xml:space="preserve">FAOSTAT, National Statistics</t>
  </si>
  <si>
    <t xml:space="preserve">??</t>
  </si>
  <si>
    <t xml:space="preserve">https://www.tandfonline.com/doi/full/10.1080/17474230701622940</t>
  </si>
  <si>
    <t xml:space="preserve">Klein Goldewijk et al., 2007</t>
  </si>
  <si>
    <t xml:space="preserve">K. Klein Goldewijk, G. Van Drecht, and A. F. Bouwman. &amp;ldquo;Mapping Contemporary Global Cropland and Grassland Distributions on a 5 × 5 Minute Resolution&amp;rdquo;. In: Journal of Land Use Science 2.3 (Oct. 2007), pp. 167&amp;ndash;190. ISSN: 1747-423X, 1747-4248. DOI: 10.1080/17474230701622940. (Visited on 06/10/2026).</t>
  </si>
  <si>
    <t xml:space="preserve">10 km</t>
  </si>
  <si>
    <t xml:space="preserve">10</t>
  </si>
  <si>
    <t xml:space="preserve">Global</t>
  </si>
  <si>
    <t xml:space="preserve">Difficult to obtain layers, likely part of HYDE 3.1?</t>
  </si>
  <si>
    <t xml:space="preserve">Cropland and Pasture 2015</t>
  </si>
  <si>
    <t xml:space="preserve">Farmland 2015</t>
  </si>
  <si>
    <t xml:space="preserve">MODIS</t>
  </si>
  <si>
    <t xml:space="preserve">FAOSTAT, National Statistics, EUROSTAT</t>
  </si>
  <si>
    <t xml:space="preserve">15 GB</t>
  </si>
  <si>
    <t xml:space="preserve">https://essd.copernicus.org/articles/17/3473/2025/</t>
  </si>
  <si>
    <t xml:space="preserve">Mehrabi et al., 2024</t>
  </si>
  <si>
    <t xml:space="preserve">Z. Mehrabi, K. Tong, J. Fortin, et al. Geospatial Database of Global Agricultural Lands in the Year 2015. Jun. 2024. DOI: 10.5281/ZENODO.11540554. (Visited on 06/10/2026).</t>
  </si>
  <si>
    <t xml:space="preserve">snapshot</t>
  </si>
  <si>
    <t xml:space="preserve">Catchment scale land use of Australia</t>
  </si>
  <si>
    <t xml:space="preserve">CLUM</t>
  </si>
  <si>
    <t xml:space="preserve">National Statistics</t>
  </si>
  <si>
    <t xml:space="preserve">500 MB</t>
  </si>
  <si>
    <t xml:space="preserve">https://www.agriculture.gov.au/abares/aclump/land-use/catchment-scale-land-use-report</t>
  </si>
  <si>
    <t xml:space="preserve">ABARES, 2024</t>
  </si>
  <si>
    <t xml:space="preserve">ABARES. Catchment Scale Land Use of Australia; Update December 2023. 2024. DOI: 10.25814/2W2P-PH98. (Visited on 06/10/2026).</t>
  </si>
  <si>
    <t xml:space="preserve">50 m </t>
  </si>
  <si>
    <t xml:space="preserve">0.05</t>
  </si>
  <si>
    <t xml:space="preserve">Australia</t>
  </si>
  <si>
    <t xml:space="preserve">land cover</t>
  </si>
  <si>
    <t xml:space="preserve">change</t>
  </si>
  <si>
    <t xml:space="preserve">Land Use Land Cover India</t>
  </si>
  <si>
    <t xml:space="preserve">LULC India</t>
  </si>
  <si>
    <t xml:space="preserve">Cartosat 2S, ResourceSat-1, ResourceSat-2, ResourceSat-2A</t>
  </si>
  <si>
    <t xml:space="preserve">https://www.prepdata.org/dataset/PREP_0500</t>
  </si>
  <si>
    <t xml:space="preserve">NRSC, 2024</t>
  </si>
  <si>
    <t xml:space="preserve">NRSC. Annual LULC Atlas of India. 2024.</t>
  </si>
  <si>
    <t xml:space="preserve">30 m </t>
  </si>
  <si>
    <t xml:space="preserve">Asia</t>
  </si>
  <si>
    <t xml:space="preserve">India</t>
  </si>
  <si>
    <t xml:space="preserve">land use</t>
  </si>
  <si>
    <t xml:space="preserve">HILDA+</t>
  </si>
  <si>
    <t xml:space="preserve">Copernicus LC, ESA LC, GLAD LGLC, GLC2000, GLCNMO, GHSL, GLW, GLAD GFC, GUF, GlobCover, Globeland30, Canada ACI, Australia DLCD, CORINE LC, LULC India, MoEF Indonesia, USGS NLCD, RCMRD LC, South Africa LC</t>
  </si>
  <si>
    <t xml:space="preserve">FAOSTAT</t>
  </si>
  <si>
    <t xml:space="preserve">https://ceos.org/gst/HILDAplus.html</t>
  </si>
  <si>
    <t xml:space="preserve">Winkler et al., 2021</t>
  </si>
  <si>
    <t xml:space="preserve">K. Winkler, R. Fuchs, M. Rounsevell, et al. &amp;ldquo;Global Land Use Changes Are Four Times Greater than Previously Estimated&amp;rdquo;. In: Nature Communications 12.1 (May. 2021), p. 2501. ISSN: 2041-1723. DOI: 10.1038/s41467-021-22702-2. (Visited on 06/10/2026).</t>
  </si>
  <si>
    <t xml:space="preserve">1 km</t>
  </si>
  <si>
    <t xml:space="preserve">1</t>
  </si>
  <si>
    <t xml:space="preserve">The 30 m annual land cover dataset and its dynamics in China from 1990 to 2019</t>
  </si>
  <si>
    <t xml:space="preserve">China LC</t>
  </si>
  <si>
    <t xml:space="preserve">ChinaCover</t>
  </si>
  <si>
    <t xml:space="preserve">Landsat</t>
  </si>
  <si>
    <t xml:space="preserve">60 GB</t>
  </si>
  <si>
    <t xml:space="preserve">https://zenodo.org/records/18180184</t>
  </si>
  <si>
    <t xml:space="preserve">Yang et al., 2026</t>
  </si>
  <si>
    <t xml:space="preserve">Yang, J., &amp; Huang, X. (2026). The 30 m annual land cover datasets and its dynamics in China from 1985 to 2025. https://doi.org/10.5281/zenodo.18180184</t>
  </si>
  <si>
    <t xml:space="preserve">China</t>
  </si>
  <si>
    <t xml:space="preserve">LUH2</t>
  </si>
  <si>
    <t xml:space="preserve">HYDE, GLAD GFC, MRF 2000, USDA NASS CDL, Zhang Nitrogen, Heinimann 2017</t>
  </si>
  <si>
    <t xml:space="preserve">MIAMI-LU, FAOSTAT</t>
  </si>
  <si>
    <t xml:space="preserve">2.5 GB</t>
  </si>
  <si>
    <t xml:space="preserve">https://luh.umd.edu/index.shtml</t>
  </si>
  <si>
    <t xml:space="preserve">Hurtt et al., 2020</t>
  </si>
  <si>
    <t xml:space="preserve">G. C. Hurtt, L. Chini, R. Sahajpal, et al. &amp;ldquo;Harmonization of Global Land Use Change and Management for the Period 850&amp;ndash;2100 (LUH2) for CMIP6&amp;rdquo;. In: Geoscientific Model Development 13.11 (Nov. 2020), pp. 5425&amp;ndash;5464. ISSN: 1991-9603. DOI: 10.5194/gmd-13-5425-2020. (Visited on 06/10/2026).</t>
  </si>
  <si>
    <t xml:space="preserve">nc</t>
  </si>
  <si>
    <t xml:space="preserve">30 km</t>
  </si>
  <si>
    <t xml:space="preserve">30</t>
  </si>
  <si>
    <t xml:space="preserve">management layer</t>
  </si>
  <si>
    <t xml:space="preserve">HYDE 3.5</t>
  </si>
  <si>
    <t xml:space="preserve">HYDE</t>
  </si>
  <si>
    <t xml:space="preserve">GCG 2006, LandScan, ESA LC, MapBiomas, MIRCA2000, GAEZ, CRU</t>
  </si>
  <si>
    <t xml:space="preserve">FAOSTAT, National Statistics, UN, WWF, NOAA-NGDC</t>
  </si>
  <si>
    <t xml:space="preserve">2.7 GB</t>
  </si>
  <si>
    <t xml:space="preserve">https://landuse.sites.uu.nl/hyde-project/</t>
  </si>
  <si>
    <t xml:space="preserve">Klein Goldewijk, 2025</t>
  </si>
  <si>
    <t xml:space="preserve">K. Klein Goldewijk. HYDE Data for the Global Carbon Budget (2025). Jun. 2025. DOI: 10.24416/UU01-F45D44. (Visited on 06/10/2026).</t>
  </si>
  <si>
    <t xml:space="preserve">AAIGRID</t>
  </si>
  <si>
    <t xml:space="preserve">9 km</t>
  </si>
  <si>
    <t xml:space="preserve">9</t>
  </si>
  <si>
    <t xml:space="preserve">Anthromes 12k</t>
  </si>
  <si>
    <t xml:space="preserve">Anthromes</t>
  </si>
  <si>
    <t xml:space="preserve">Ramankutty Vegetation, HYDE, MRF 2000</t>
  </si>
  <si>
    <t xml:space="preserve">AQUASTAT</t>
  </si>
  <si>
    <t xml:space="preserve">2 MB</t>
  </si>
  <si>
    <t xml:space="preserve">CC0 1.0</t>
  </si>
  <si>
    <t xml:space="preserve">https://dataverse.harvard.edu/dataset.xhtml?persistentId=doi:10.7910/DVN/6KKAWS</t>
  </si>
  <si>
    <t xml:space="preserve">Ellis, 2019</t>
  </si>
  <si>
    <t xml:space="preserve">E. Ellis. Anthromes v2 (GeoTiff). 2019. DOI: 10.7910/DVN/6KKAWS. (Visited on 06/10/2026).</t>
  </si>
  <si>
    <t xml:space="preserve">tif</t>
  </si>
  <si>
    <t xml:space="preserve">multi-year</t>
  </si>
  <si>
    <t xml:space="preserve">MapBiomas Land Use Land Cover</t>
  </si>
  <si>
    <t xml:space="preserve">MapBiomas</t>
  </si>
  <si>
    <t xml:space="preserve">https://brasil.mapbiomas.org/en/iniciativas-mapbiomas/</t>
  </si>
  <si>
    <t xml:space="preserve">MAPBIOMAS, 2026</t>
  </si>
  <si>
    <t xml:space="preserve">MAPBIOMAS. MapBiomas Initiatives. 2026.</t>
  </si>
  <si>
    <t xml:space="preserve">South America</t>
  </si>
  <si>
    <t xml:space="preserve">per-country variability in mapped classes and temporal coverage</t>
  </si>
  <si>
    <t xml:space="preserve">Digital Earth Australia Land Cover</t>
  </si>
  <si>
    <t xml:space="preserve">DEA LC</t>
  </si>
  <si>
    <t xml:space="preserve">Landsat-5, Landsat-7, Landsat-8, Landsat-9</t>
  </si>
  <si>
    <t xml:space="preserve">80 GB</t>
  </si>
  <si>
    <t xml:space="preserve">https://www.ga.gov.au/scientific-topics/dea/dea-data-and-products/dea-land-cover</t>
  </si>
  <si>
    <t xml:space="preserve">Tissott et al., 2025</t>
  </si>
  <si>
    <t xml:space="preserve">B. Tissott, N. Mueller, C. Jorand, et al. Geoscience Australia Landsat Landcover Collection 3. 2025. DOI: 10.26186/149976. (Visited on 06/10/2026).</t>
  </si>
  <si>
    <t xml:space="preserve">Decadal Land Use and Land Cover Classifications across India, 1985, 1995, 2005</t>
  </si>
  <si>
    <t xml:space="preserve">LULC India Decadal</t>
  </si>
  <si>
    <t xml:space="preserve">Landsat-5, IRS-1B, Landsat-4</t>
  </si>
  <si>
    <t xml:space="preserve">https://www.earthdata.nasa.gov/data/catalog/ornl-cloud-decadal-lulc-india-1336-1</t>
  </si>
  <si>
    <t xml:space="preserve">NASA, 2025</t>
  </si>
  <si>
    <t xml:space="preserve">NASA. Decadal Land Use and Land Cover Classifications across India, 1985, 1995, 2005. Jun. 2025. (Visited on 06/10/2026).</t>
  </si>
  <si>
    <t xml:space="preserve">100 m</t>
  </si>
  <si>
    <t xml:space="preserve">0.1</t>
  </si>
  <si>
    <t xml:space="preserve">decadal</t>
  </si>
  <si>
    <t xml:space="preserve">Dynamic World, Near real-time global 10 m land use land cover mapping</t>
  </si>
  <si>
    <t xml:space="preserve">DynamicWorld</t>
  </si>
  <si>
    <t xml:space="preserve">Sentinel-2</t>
  </si>
  <si>
    <t xml:space="preserve">https://www.nature.com/articles/s41597-022-01307-4#Sec13</t>
  </si>
  <si>
    <t xml:space="preserve">Brown et al., 2022</t>
  </si>
  <si>
    <t xml:space="preserve">C. F. Brown, S. P. Brumby, B. Guzder-Williams, et al. &amp;ldquo;Dynamic World, Near Real-Time Global 10 m Land Use Land Cover Mapping&amp;rdquo;. In: Scientific Data 9.1 (Jun. 2022), p. 251. ISSN: 2052-4463. DOI: 10.1038/s41597-022-01307-4. (Visited on 06/10/2026).</t>
  </si>
  <si>
    <t xml:space="preserve">Crops</t>
  </si>
  <si>
    <t xml:space="preserve">Global Food-and-Water Security-support Analysis Data</t>
  </si>
  <si>
    <t xml:space="preserve">USGS GFSAD30</t>
  </si>
  <si>
    <t xml:space="preserve">GAEZ, NASA GDEM</t>
  </si>
  <si>
    <t xml:space="preserve">Landsat-7, Landsat-8, Sentinel-2, VHRI</t>
  </si>
  <si>
    <t xml:space="preserve">https://www.earthdata.nasa.gov/news/feature-articles/measuring-worlds-croplands</t>
  </si>
  <si>
    <t xml:space="preserve">USGS, 2025</t>
  </si>
  <si>
    <t xml:space="preserve">USGS. GFSAD. 2025.</t>
  </si>
  <si>
    <t xml:space="preserve">Contains irrigated and rainfed croplands (LGRIP), cropland extents and yields (LGCEP).</t>
  </si>
  <si>
    <t xml:space="preserve">USDA NASS Cropland Data Layer</t>
  </si>
  <si>
    <t xml:space="preserve">USDA NASS CDL</t>
  </si>
  <si>
    <t xml:space="preserve">USGS 3D Elevation, USGS NLCD, USDA FSA CLU, USDA NCCPI</t>
  </si>
  <si>
    <t xml:space="preserve">Landsat-5, Landsat-7, Landsat-8, Landsat-9, ResourceSat-1, ResourceSat-2, Deimos-1, UK-DMC-2, Sentinel-2, Sentinel-2</t>
  </si>
  <si>
    <t xml:space="preserve">2 GB</t>
  </si>
  <si>
    <t xml:space="preserve">https://developers.google.com/earth-engine/datasets/catalog/USDA_NASS_CDL</t>
  </si>
  <si>
    <t xml:space="preserve">USDA NASS, 2026</t>
  </si>
  <si>
    <t xml:space="preserve">USDA NASS. Cropland Data Layer. 2026. (Visited on 06/04/2026).</t>
  </si>
  <si>
    <t xml:space="preserve">USA</t>
  </si>
  <si>
    <t xml:space="preserve">limited data from 1997 for some states</t>
  </si>
  <si>
    <t xml:space="preserve">Yearly modelled crop area in EU Member States at 25 km grid resolution from 1980 - 2022 for major crops in Europe.</t>
  </si>
  <si>
    <t xml:space="preserve">EU Crops</t>
  </si>
  <si>
    <t xml:space="preserve">https://agri4cast.jrc.ec.europa.eu/dataportal</t>
  </si>
  <si>
    <t xml:space="preserve">EU JRC, 2022</t>
  </si>
  <si>
    <t xml:space="preserve">EU JRC. Yearly Modelled Crop Area in the EU at Grid Level. 2022.</t>
  </si>
  <si>
    <t xml:space="preserve">tif?</t>
  </si>
  <si>
    <t xml:space="preserve">25 km</t>
  </si>
  <si>
    <t xml:space="preserve">25</t>
  </si>
  <si>
    <t xml:space="preserve">WorldCereal</t>
  </si>
  <si>
    <t xml:space="preserve">Copernicus DEM, Ecoregions2017, NASA Harvest, EU LPIS, USDA NASS CDL, JECAM</t>
  </si>
  <si>
    <t xml:space="preserve">Sentinel-1, Sentinel-2, Landsat-8</t>
  </si>
  <si>
    <t xml:space="preserve">AQUASTAT, GEOGLAM, AgERA5, </t>
  </si>
  <si>
    <t xml:space="preserve">https://zenodo.org/records/7875105</t>
  </si>
  <si>
    <t xml:space="preserve">Van Tricht et al., 2023</t>
  </si>
  <si>
    <t xml:space="preserve">K. Van Tricht, J. Degerickx, S. Gilliams, et al. ESA WorldCereal 10 m 2021 V100. May. 2023. DOI: 10.5281/zenodo.7875105. (Visited on 06/05/2026).</t>
  </si>
  <si>
    <t xml:space="preserve">CROPGRIDS</t>
  </si>
  <si>
    <t xml:space="preserve">MRF 2000, SPAM, GAEZ, EUCROPMAP, USDA NASS CDL, Canada ACI, GLCNMO</t>
  </si>
  <si>
    <t xml:space="preserve">FAOSTAT, National Statistics </t>
  </si>
  <si>
    <t xml:space="preserve">1 GB</t>
  </si>
  <si>
    <t xml:space="preserve">https://figshare.com/articles/dataset/CROPGRIDS/22491997</t>
  </si>
  <si>
    <t xml:space="preserve">Tang et al., 2024</t>
  </si>
  <si>
    <t xml:space="preserve">F. H. M. Tang, T. H. Nguyen, G. Conchedda, et al. &amp;ldquo;CROPGRIDS: A Global Geo-Referenced Dataset of 173 Crops&amp;rdquo;. In: Scientific Data 11.1 (Apr. 2024), p. 413. ISSN: 2052-4463. DOI: 10.1038/s41597-024-03247-7. (Visited on 06/22/2026).</t>
  </si>
  <si>
    <t xml:space="preserve">5 km</t>
  </si>
  <si>
    <t xml:space="preserve">5</t>
  </si>
  <si>
    <t xml:space="preserve">Geographic distribution of crop areas, yields, physiological types, and net primary production in the year 2000</t>
  </si>
  <si>
    <t xml:space="preserve">MRF 2000</t>
  </si>
  <si>
    <t xml:space="preserve">GLC2000</t>
  </si>
  <si>
    <t xml:space="preserve">FAOSTAT, National Statistics, AgroMAPS, </t>
  </si>
  <si>
    <t xml:space="preserve">http://www.earthstat.org/harvested-area-yield-175-crops/</t>
  </si>
  <si>
    <t xml:space="preserve">Monfreda et al., 2008</t>
  </si>
  <si>
    <t xml:space="preserve">C. Monfreda, N. Ramankutty, and J. A. Foley. &amp;ldquo;Farming the Planet: 2. Geographic Distribution of Crop Areas, Yields, Physiological Types, and Net Primary Production in the Year 2000&amp;rdquo;. In: Global Biogeochemical Cycles 22.1 (2008). ISSN: 1944-9224. DOI: 10.1029/2007GB002947. (Visited on 06/01/2026).</t>
  </si>
  <si>
    <t xml:space="preserve">EuroCrops: The Largest Harmonized Open Crop Dataset Across the European Union</t>
  </si>
  <si>
    <t xml:space="preserve">EuroCrops</t>
  </si>
  <si>
    <t xml:space="preserve">vector</t>
  </si>
  <si>
    <t xml:space="preserve">https://www.nature.com/articles/s41597-023-02517-0</t>
  </si>
  <si>
    <t xml:space="preserve">Schneider et al., 2024</t>
  </si>
  <si>
    <t xml:space="preserve">M. Schneider, A. Chan, and M. Körner. EuroCrops. 2024. DOI: 10.5281/zenodo.14094196. (Visited on 06/05/2026).</t>
  </si>
  <si>
    <t xml:space="preserve">csv</t>
  </si>
  <si>
    <t xml:space="preserve">per-country</t>
  </si>
  <si>
    <t xml:space="preserve">600</t>
  </si>
  <si>
    <t xml:space="preserve">AgroMAPS Global Spatial Database of National and Sub-National Agricultural Land-Use Statistics</t>
  </si>
  <si>
    <t xml:space="preserve">AgroMAPS</t>
  </si>
  <si>
    <t xml:space="preserve">GAEZ</t>
  </si>
  <si>
    <t xml:space="preserve">https://gaez.fao.org/pages/agromaps</t>
  </si>
  <si>
    <t xml:space="preserve">FAOSTAT, 2026</t>
  </si>
  <si>
    <t xml:space="preserve">FAOSTAT. AgroMAPS. 2026.</t>
  </si>
  <si>
    <t xml:space="preserve">10 year</t>
  </si>
  <si>
    <t xml:space="preserve">National Cropland Map of Argentina</t>
  </si>
  <si>
    <t xml:space="preserve">INTA</t>
  </si>
  <si>
    <t xml:space="preserve">Landsat, Sentinel-2</t>
  </si>
  <si>
    <t xml:space="preserve">https://zenodo.org/records/13984185</t>
  </si>
  <si>
    <t xml:space="preserve">Abelleyra et al., 2024</t>
  </si>
  <si>
    <t xml:space="preserve">D. de Abelleyra, M. d. R. Iturralde Elortegui, K. Zelaya, et al. Argentina National Map of Crops 2023/2024. Oct. 2024. DOI: 10.5281/zenodo.13984185. (Visited on 06/05/2026).</t>
  </si>
  <si>
    <t xml:space="preserve">Argentina</t>
  </si>
  <si>
    <t xml:space="preserve">Global synergy cropland map</t>
  </si>
  <si>
    <t xml:space="preserve">SASAM-GC</t>
  </si>
  <si>
    <t xml:space="preserve">GlobeLand, ESA LC, GlobCover, CLUM, ChinaCover, CORINE LC</t>
  </si>
  <si>
    <t xml:space="preserve">https://dataverse.harvard.edu/dataset.xhtml?persistentId=doi:10.7910/DVN/ZWSFAA</t>
  </si>
  <si>
    <t xml:space="preserve">Lu et al., 2020</t>
  </si>
  <si>
    <t xml:space="preserve">M. Lu, W. Wu, L. You, et al. Global Synergy Cropland Map. May. 2020. DOI: 10.7910/DVN/ZWSFAA. (Visited on 06/05/2026).</t>
  </si>
  <si>
    <t xml:space="preserve">500 m</t>
  </si>
  <si>
    <t xml:space="preserve">0.5</t>
  </si>
  <si>
    <t xml:space="preserve">Digital Earth Africa Cropland Extent</t>
  </si>
  <si>
    <t xml:space="preserve">Africa Cropland</t>
  </si>
  <si>
    <t xml:space="preserve">https://deafrica.africageoportal.com/datasets/bc6a9440f3cb41d6904b2c8831745903/about</t>
  </si>
  <si>
    <t xml:space="preserve">Digital Earth Africa, 2022</t>
  </si>
  <si>
    <t xml:space="preserve">Digital Earth Africa. Cropland Extents for Africa. 2022.</t>
  </si>
  <si>
    <t xml:space="preserve">Africa</t>
  </si>
  <si>
    <t xml:space="preserve">Fallow Land Presence 2017-2023 Copernicus</t>
  </si>
  <si>
    <t xml:space="preserve">Fallow Land EU</t>
  </si>
  <si>
    <t xml:space="preserve">CORINE LC, CLCplus backbone, HRL Imperviousness, Copernicus Ploughing</t>
  </si>
  <si>
    <t xml:space="preserve">LUCAS, GSAA, EuroCrops</t>
  </si>
  <si>
    <t xml:space="preserve">https://land.copernicus.eu/en/products/high-resolution-layer-croplands/fallow-land-presence-2023-raster-10-m-europe-yearly</t>
  </si>
  <si>
    <t xml:space="preserve">EEA, 2024</t>
  </si>
  <si>
    <t xml:space="preserve">EEA. Fallow Land Presence 2017 - Present (Raster 10 m), Europe, Yearly, Nov. 2024. 2024. DOI: 10.2909/FA304E7C-771C-4FFB-B0F4-7E302A0D5081. (Visited on 06/10/2026).</t>
  </si>
  <si>
    <t xml:space="preserve">Global Cropland Change</t>
  </si>
  <si>
    <t xml:space="preserve">GLAD GCC</t>
  </si>
  <si>
    <t xml:space="preserve">Landsat-ARD, MODIS</t>
  </si>
  <si>
    <t xml:space="preserve">https://landcarbonlab.org/data/global-cropland-change/</t>
  </si>
  <si>
    <t xml:space="preserve">Potapov et al., 2021</t>
  </si>
  <si>
    <t xml:space="preserve">P. Potapov, S. Turubanova, M. C. Hansen, et al. &amp;ldquo;Global Maps of Cropland Extent and Change Show Accelerated Cropland Expansion in the Twenty-First Century&amp;rdquo;. In: Nature Food 3.1 (Dec. 2021), pp. 19&amp;ndash;28. ISSN: 2662-1355. DOI: 10.1038/s43016-021-00429-z. (Visited on 06/10/2026).</t>
  </si>
  <si>
    <t xml:space="preserve">5 year</t>
  </si>
  <si>
    <t xml:space="preserve">Historic Croplands Dataset, 1700-1992</t>
  </si>
  <si>
    <t xml:space="preserve">Historical Cropland</t>
  </si>
  <si>
    <t xml:space="preserve">DISCover</t>
  </si>
  <si>
    <t xml:space="preserve">46 MB</t>
  </si>
  <si>
    <t xml:space="preserve">https://sage.nelson.wisc.edu/data-and-models/datasets/historic-croplands-dataset-1700-1992/</t>
  </si>
  <si>
    <t xml:space="preserve">Ramankutty &amp; Foley, 1999</t>
  </si>
  <si>
    <t xml:space="preserve">N. Ramankutty and J. A. Foley. &amp;ldquo;Estimating Historical Changes in Global Land Cover: Croplands from 1700 to 1992&amp;rdquo;. In: Global Biogeochemical Cycles 13.4 (Dec. 1999), pp. 997&amp;ndash;1027. ISSN: 0886-6236, 1944-9224. DOI: 10.1029/1999GB900046. (Visited on 06/10/2026).</t>
  </si>
  <si>
    <t xml:space="preserve">netCDF</t>
  </si>
  <si>
    <t xml:space="preserve">Shifting cultivation (tropics)</t>
  </si>
  <si>
    <t xml:space="preserve">Cultivated Tropics</t>
  </si>
  <si>
    <t xml:space="preserve">GLAD GFC</t>
  </si>
  <si>
    <t xml:space="preserve">https://journals.plos.org/plosone/article?id=10.1371/journal.pone.0184479</t>
  </si>
  <si>
    <t xml:space="preserve">Heinimann et al., 2017</t>
  </si>
  <si>
    <t xml:space="preserve">A. Heinimann, O. Mertz, S. Frolking, et al. &amp;ldquo;A Global View of Shifting Cultivation: Recent, Current, and Future Extent&amp;rdquo;. In: PLOS ONE 12.9 (Sep. 2017). Ed. by B. Poulter, p. e0184479. ISSN: 1932-6203. DOI: 10.1371/journal.pone.0184479. (Visited on 06/10/2026).</t>
  </si>
  <si>
    <t xml:space="preserve">100 km</t>
  </si>
  <si>
    <t xml:space="preserve">100</t>
  </si>
  <si>
    <t xml:space="preserve">only tropics/subtropics</t>
  </si>
  <si>
    <t xml:space="preserve">Annual 10 m high resolution cropland maps for Southeast Asia since 2019 using AlphaEarth embeddings</t>
  </si>
  <si>
    <t xml:space="preserve">SEA Cropland</t>
  </si>
  <si>
    <t xml:space="preserve">AlphaEarth</t>
  </si>
  <si>
    <t xml:space="preserve">Sentinel-1, Sentinel-2, Copernicus DEM</t>
  </si>
  <si>
    <t xml:space="preserve">9 GB</t>
  </si>
  <si>
    <t xml:space="preserve">https://zenodo.org/records/17828801</t>
  </si>
  <si>
    <t xml:space="preserve">Cai &amp; Zeng, 2025</t>
  </si>
  <si>
    <t xml:space="preserve">Y. Cai and Z. Zeng. SEA\_Cropland10: Annual 10-m High-Resolution Cropland Maps for Southeast Asia since 2019. Dec. 2025. DOI: 10.5281/zenodo.17828801. (Visited on 06/10/2026).</t>
  </si>
  <si>
    <t xml:space="preserve">Southeast Asia</t>
  </si>
  <si>
    <t xml:space="preserve">fertilizer</t>
  </si>
  <si>
    <t xml:space="preserve">Fertilizer</t>
  </si>
  <si>
    <t xml:space="preserve">NPKGRIDS Global Fertilizer Application Rates Dataset</t>
  </si>
  <si>
    <t xml:space="preserve">NPKGRIDS</t>
  </si>
  <si>
    <t xml:space="preserve">CROPGRIDS, MRF 2000, Fertilizer Per-Crop</t>
  </si>
  <si>
    <t xml:space="preserve">HFUBC</t>
  </si>
  <si>
    <t xml:space="preserve">300 MB</t>
  </si>
  <si>
    <t xml:space="preserve">https://figshare.com/articles/dataset/NPKGRIDS/24616050/4</t>
  </si>
  <si>
    <t xml:space="preserve">Nguyen et al., 2024</t>
  </si>
  <si>
    <t xml:space="preserve">T. H. Nguyen, F. H. M. Tang, G. Conchedda, et al. &amp;ldquo;NPKGRIDS: A Global Georeferenced Dataset of N, P2O5, and K2O Fertilizer Application Rates for 173 Crops&amp;rdquo;. In: Scientific Data 11.1 (Oct. 2024), p. 1179. ISSN: 2052-4463. DOI: 10.1038/s41597-024-04030-4. (Visited on 06/22/2026).</t>
  </si>
  <si>
    <t xml:space="preserve">N/P/K per crop</t>
  </si>
  <si>
    <t xml:space="preserve">IFA Historic Fertilizer Use By Crop</t>
  </si>
  <si>
    <t xml:space="preserve">FAOSTAT, IFA</t>
  </si>
  <si>
    <t xml:space="preserve">https://datadryad.org/dataset/doi:10.5061/dryad.2rbnzs7qh#readme</t>
  </si>
  <si>
    <t xml:space="preserve">Ludemann et al., 2022</t>
  </si>
  <si>
    <t xml:space="preserve">C. Ludemann, A. Gruere, P. Heffer, et al. Global Data on Fertilizer Use by Crop and by Country. May. 2022. DOI: 10.5061/DRYAD.2RBNZS7QH. (Visited on 06/10/2026).</t>
  </si>
  <si>
    <t xml:space="preserve">Global crop-specific nitrogen fertilization</t>
  </si>
  <si>
    <t xml:space="preserve">Global Nitrogen</t>
  </si>
  <si>
    <t xml:space="preserve">Field Size, Water Erosion, Ammonia emissions, Nitrous oxide emissions, MRF 2000, HYDE, SPAM, CRU</t>
  </si>
  <si>
    <t xml:space="preserve">FAOSTAT, IFA, HFUBC, EUROSTAT, World Bank, CAMI, CTIC</t>
  </si>
  <si>
    <t xml:space="preserve">8 GB</t>
  </si>
  <si>
    <t xml:space="preserve">https://data.tpdc.ac.cn/en/data/1e31ad1f-5904-4b49-8796-b379c37e7dba</t>
  </si>
  <si>
    <t xml:space="preserve">Adalibieke et al., 2023</t>
  </si>
  <si>
    <t xml:space="preserve">W. Adalibieke, X. Cui, H. Cai, et al. &amp;ldquo;Global Crop-Specific Nitrogen Fertilization Dataset in 1961&amp;ndash;2020&amp;rdquo;. In: Scientific Data 10.1 (Sep. 2023), p. 617. ISSN: 2052-4463. DOI: 10.1038/s41597-023-02526-z. (Visited on 03/11/2026).</t>
  </si>
  <si>
    <t xml:space="preserve">includes fertilizer types</t>
  </si>
  <si>
    <t xml:space="preserve">Crop-specific global fertilizer application rates</t>
  </si>
  <si>
    <t xml:space="preserve">Fertilizer Per-Crop</t>
  </si>
  <si>
    <t xml:space="preserve">HFUBC, USDA ERS, FAOSTAT, National Statistics</t>
  </si>
  <si>
    <t xml:space="preserve">200 MB</t>
  </si>
  <si>
    <t xml:space="preserve">https://zenodo.org/records/5260732#.YqlfS3ZBy5d</t>
  </si>
  <si>
    <t xml:space="preserve">Mueller, 2012</t>
  </si>
  <si>
    <t xml:space="preserve">N. Mueller. Crop-Specific Global Fertilizer Application Rates from &amp;quot;Closing Yield Gaps through Nutrient and Water Management. Oct. 2012. DOI: 10.5281/zenodo.5260732. (Visited on 06/10/2026).</t>
  </si>
  <si>
    <t xml:space="preserve">N fertilizer use for 1961–2011</t>
  </si>
  <si>
    <t xml:space="preserve">Zhang Nitrogen</t>
  </si>
  <si>
    <t xml:space="preserve">FAOSTAT, FertiStat, IFA, USDA</t>
  </si>
  <si>
    <t xml:space="preserve">https://www.nature.com/articles/nature15743</t>
  </si>
  <si>
    <t xml:space="preserve">Zhang et al., 2015</t>
  </si>
  <si>
    <t xml:space="preserve">X. Zhang, E. A. Davidson, D. L. Mauzerall, et al. &amp;ldquo;Managing Nitrogen for Sustainable Development&amp;rdquo;. In: Nature 528.7580 (Dec. 2015), pp. 51&amp;ndash;59. ISSN: 1476-4687. DOI: 10.1038/nature15743. (Visited on 06/10/2026).</t>
  </si>
  <si>
    <t xml:space="preserve">FAOSTAT Ferilizer use</t>
  </si>
  <si>
    <t xml:space="preserve">FAOSTAT Fertilizer</t>
  </si>
  <si>
    <t xml:space="preserve">https://www.fao.org/faostat/en/#data/RFN</t>
  </si>
  <si>
    <t xml:space="preserve">FAOSTAT, 2025</t>
  </si>
  <si>
    <t xml:space="preserve">FAOSTAT. Fertilizers by Nutrient. 2025.</t>
  </si>
  <si>
    <t xml:space="preserve">split by NPK or overall</t>
  </si>
  <si>
    <t xml:space="preserve">FAOSTAT Nutrient input</t>
  </si>
  <si>
    <t xml:space="preserve">FAOSTAT Nutrients</t>
  </si>
  <si>
    <t xml:space="preserve">5 MB</t>
  </si>
  <si>
    <t xml:space="preserve">https://www.fao.org/faostat/en/#data/ESB</t>
  </si>
  <si>
    <t xml:space="preserve">FAOSTAT. Cropland Nutrient Balance. 2025.</t>
  </si>
  <si>
    <t xml:space="preserve">Global Fertilizer and Manure, Version 1</t>
  </si>
  <si>
    <t xml:space="preserve">Fertilizer and Manure</t>
  </si>
  <si>
    <t xml:space="preserve">MRF 2000, GLW</t>
  </si>
  <si>
    <t xml:space="preserve">HFUBC, FAOSTAT, OECD</t>
  </si>
  <si>
    <t xml:space="preserve">150 MB</t>
  </si>
  <si>
    <t xml:space="preserve">https://dataverse.harvard.edu/dataset.xhtml?persistentId=doi:10.7910/DVN/P8MWOW</t>
  </si>
  <si>
    <t xml:space="preserve">Potter et al., 2025</t>
  </si>
  <si>
    <t xml:space="preserve">P. Potter, N. S. Data, and pplications Center (SEDAC). Global Fertilizer and Manure, Version 1: Phosphorus in Manure Production. 2025. DOI: 10.7910/DVN/P8MWOW. (Visited on 06/10/2026).</t>
  </si>
  <si>
    <t xml:space="preserve">50 km</t>
  </si>
  <si>
    <t xml:space="preserve">50</t>
  </si>
  <si>
    <t xml:space="preserve">Crop production and nitrogen use in European cropland and grassland 1961–2019</t>
  </si>
  <si>
    <t xml:space="preserve">EuropeAgriDB</t>
  </si>
  <si>
    <t xml:space="preserve">FAOSTAT, EUROSTAT, National Statistics, IFA</t>
  </si>
  <si>
    <t xml:space="preserve">650 MB</t>
  </si>
  <si>
    <t xml:space="preserve">https://springernature.figshare.com/collections/Crop_production_and_nitrogen_use_in_European_cropland_and_grassland_1961-2019/5320772</t>
  </si>
  <si>
    <t xml:space="preserve">Lassaletta, 2021</t>
  </si>
  <si>
    <t xml:space="preserve">L. Lassaletta. Crop Production and Nitrogen Use in European Cropland and Grassland 1961-2019. Oct. 2021. DOI: 10.6084/m9.figshare.c.5320772.v1. (Visited on 06/10/2026).</t>
  </si>
  <si>
    <t xml:space="preserve">Concentrations of heavy metals and nutrients in agricultural soils </t>
  </si>
  <si>
    <t xml:space="preserve">Nutrient &amp; Heavy Metal</t>
  </si>
  <si>
    <t xml:space="preserve">https://sdi.eea.europa.eu/catalogue/srv/eng/catalog.search#/metadata/edbbd466-b845-4e4c-acf9-905ec5e28766</t>
  </si>
  <si>
    <t xml:space="preserve">EEA, 2020</t>
  </si>
  <si>
    <t xml:space="preserve">EEA. Concentrations of Heavy Metals and Nutrients in Agricultural Soils. 2020.</t>
  </si>
  <si>
    <t xml:space="preserve">shp</t>
  </si>
  <si>
    <t xml:space="preserve">grassland</t>
  </si>
  <si>
    <t xml:space="preserve">Grassland</t>
  </si>
  <si>
    <t xml:space="preserve">Conservation Technology Research Centre Grassland Data</t>
  </si>
  <si>
    <t xml:space="preserve">CTIC Grassland</t>
  </si>
  <si>
    <t xml:space="preserve">https://ctic.org/optis/grasslands/vegetation-types/</t>
  </si>
  <si>
    <t xml:space="preserve">CTIC, 2022</t>
  </si>
  <si>
    <t xml:space="preserve">CTIC. Vegetation Types. 2022. (Visited on 06/10/2026).</t>
  </si>
  <si>
    <t xml:space="preserve">river basin</t>
  </si>
  <si>
    <t xml:space="preserve">High resolution Grassland Copernicus</t>
  </si>
  <si>
    <t xml:space="preserve">Copernicus Grassland</t>
  </si>
  <si>
    <t xml:space="preserve">LUCAS, National Statistics</t>
  </si>
  <si>
    <t xml:space="preserve">https://land.copernicus.eu/en/products/high-resolution-layer-grasslands?tab=overview</t>
  </si>
  <si>
    <t xml:space="preserve">EEA. Grassland 2017 - Present (Raster 10 m), Europe, Yearly, Nov. 2024. 2024. DOI: 10.2909/0B6254BB-4C7D-41D9-8EAE-C43B05AB2965. (Visited on 06/10/2026).</t>
  </si>
  <si>
    <t xml:space="preserve">USDA Rangeland Productivity</t>
  </si>
  <si>
    <t xml:space="preserve">US Rangeland</t>
  </si>
  <si>
    <t xml:space="preserve">LANDFIRE</t>
  </si>
  <si>
    <t xml:space="preserve">3 GB</t>
  </si>
  <si>
    <t xml:space="preserve">https://data.fs.usda.gov/geodata/rastergateway/rangelands/index.php</t>
  </si>
  <si>
    <t xml:space="preserve">Reeves &amp; Mitchell, 2011</t>
  </si>
  <si>
    <t xml:space="preserve">M. C. Reeves and J. Mitchell. &amp;ldquo;Extent of Coterminous US Rangelands: Quantifying Implications of Differing Agency Perspectives&amp;rdquo;. In: Rangeland Ecology and Management. 64(6): 585-597. (2011), pp. 585&amp;ndash;597. (Visited on 06/10/2026).</t>
  </si>
  <si>
    <t xml:space="preserve">250 m</t>
  </si>
  <si>
    <t xml:space="preserve">0.25</t>
  </si>
  <si>
    <t xml:space="preserve">Annual 30-m maps of global grassland class and extent (2000–2022) </t>
  </si>
  <si>
    <t xml:space="preserve">GPW</t>
  </si>
  <si>
    <t xml:space="preserve">Copernicus DEM, Accessibility</t>
  </si>
  <si>
    <t xml:space="preserve">Landsat-ARD2, MODIS, VHRI</t>
  </si>
  <si>
    <t xml:space="preserve">48 GB</t>
  </si>
  <si>
    <t xml:space="preserve">https://zenodo.org/records/15646181</t>
  </si>
  <si>
    <t xml:space="preserve">Parente et al., 2025</t>
  </si>
  <si>
    <t xml:space="preserve">L. Parente, L. Sloat, V. Mesquita, et al. Global Pasture Watch - Annual Grassland Class and Extent Maps at 30-m Spatial Resolution (2000&amp;mdash;2024). Jun. 2025. DOI: 10.5281/zenodo.15646181. (Visited on 06/10/2026).</t>
  </si>
  <si>
    <t xml:space="preserve">intensity</t>
  </si>
  <si>
    <t xml:space="preserve">Intensity &amp; Management</t>
  </si>
  <si>
    <t xml:space="preserve">Irrigated crops in europe</t>
  </si>
  <si>
    <t xml:space="preserve">EU Irrigation</t>
  </si>
  <si>
    <t xml:space="preserve">8 MB</t>
  </si>
  <si>
    <t xml:space="preserve">JRC, 2022</t>
  </si>
  <si>
    <t xml:space="preserve">JRC. Irrigated Crops in Europe. 2022.</t>
  </si>
  <si>
    <t xml:space="preserve">Global Cropping Intensity Dataset 30 m</t>
  </si>
  <si>
    <t xml:space="preserve">Cropping Intensity</t>
  </si>
  <si>
    <t xml:space="preserve">USDA NASS CDL, Canada ACI, ChinaCover, SERVIR, USGS NLCD, USGS GFSAD30, FROM-GLC, MapBiomas, INTA</t>
  </si>
  <si>
    <t xml:space="preserve">Landsat-7, Landsat-8, Sentinel-2, MODIS</t>
  </si>
  <si>
    <t xml:space="preserve">https://gee-community-catalog.org/projects/gci30/#dataset-preprocessing</t>
  </si>
  <si>
    <t xml:space="preserve">Zhang et al., 2020</t>
  </si>
  <si>
    <t xml:space="preserve">M. Zhang, B. Wu, H. Zeng, et al. GCI30: Global Cropping Intensity at 30 m Resolution. Nov. 2020. DOI: 10.7910/DVN/86M4PO. (Visited on 06/10/2026).</t>
  </si>
  <si>
    <t xml:space="preserve">Estimating the global distribution of field size using crowdsourcing</t>
  </si>
  <si>
    <t xml:space="preserve">Crowdsource Field Size</t>
  </si>
  <si>
    <t xml:space="preserve">ESA LC, Globeland30</t>
  </si>
  <si>
    <t xml:space="preserve">VHRI</t>
  </si>
  <si>
    <t xml:space="preserve">40 MB</t>
  </si>
  <si>
    <t xml:space="preserve">https://pure.iiasa.ac.at/id/eprint/15526/</t>
  </si>
  <si>
    <t xml:space="preserve">Lesiv et al., 2018</t>
  </si>
  <si>
    <t xml:space="preserve">M. Lesiv, J. C. L. Bayas, L. See, et al. Estimating the Global Distribution of Field Size Using Crowdsourcing. Oct. 2018. (Visited on 06/10/2026).</t>
  </si>
  <si>
    <t xml:space="preserve">10-m maps of cropland use intensity in China during 2018–2023</t>
  </si>
  <si>
    <t xml:space="preserve">China Intensity</t>
  </si>
  <si>
    <t xml:space="preserve">ESA LC, FROM-GLC</t>
  </si>
  <si>
    <t xml:space="preserve">19 GB</t>
  </si>
  <si>
    <t xml:space="preserve">https://www.nature.com/articles/s41597-024-03456-0?fromPaywallRec=false</t>
  </si>
  <si>
    <t xml:space="preserve">QIU et al., 2024</t>
  </si>
  <si>
    <t xml:space="preserve">B. QIU, B. LIU, W. Xu, et al. No.1 National-scale 10-m Maps of Cropland Use Intensity in China during 2018-2023. 2024. DOI: 10.6084/M9.FIGSHARE.24603234. (Visited on 06/10/2026).</t>
  </si>
  <si>
    <t xml:space="preserve">Annual dynamic dataset of global cropping intensity from 2001 to 2019</t>
  </si>
  <si>
    <t xml:space="preserve">Cropping Intensity Change</t>
  </si>
  <si>
    <t xml:space="preserve">3.7 GB</t>
  </si>
  <si>
    <t xml:space="preserve">https://www.nature.com/articles/s41597-021-01065-9</t>
  </si>
  <si>
    <t xml:space="preserve">Liu et al., 2021</t>
  </si>
  <si>
    <t xml:space="preserve">X. Liu, J. Zheng, L. Yu, et al. Annual Dynamic Dataset of Global Cropping Intensity from 2001 to 2019. 2021. DOI: 10.6084/M9.FIGSHARE.14099402. (Visited on 06/10/2026).</t>
  </si>
  <si>
    <t xml:space="preserve">Conterminous United States crop field size quantification from multi-temporal Landsat data</t>
  </si>
  <si>
    <t xml:space="preserve">US Field Size</t>
  </si>
  <si>
    <t xml:space="preserve">Landsat-5, Landsat-7</t>
  </si>
  <si>
    <t xml:space="preserve">https://lcluc.umd.edu/metadata/conterminous-united-states-conus-field-extraction</t>
  </si>
  <si>
    <t xml:space="preserve">Yan &amp; Roy, 2016</t>
  </si>
  <si>
    <t xml:space="preserve">L. Yan and D. P. Roy. &amp;ldquo;Conterminous United States Crop Field Size Quantification from Multi-Temporal Landsat Data&amp;rdquo;. In: Remote Sensing of Environment 172 (Jan. 2016), pp. 67&amp;ndash;86. ISSN: 0034-4257. DOI: 10.1016/j.rse.2015.10.034. (Visited on 06/10/2026).</t>
  </si>
  <si>
    <t xml:space="preserve">binary</t>
  </si>
  <si>
    <t xml:space="preserve">https://www.dropbox.com/scl/fi/9hr10 mzm3tvs4ql4rqd1f/ReleaseData.7z?dl=0%0A7-zip+compressed+file+size+249MB+(uncompressed+42GB)%0A&amp;e=1&amp;rlkey=69c2ivhqmzi8k1mdd1bl62xz9</t>
  </si>
  <si>
    <t xml:space="preserve">The first global agricultural field boundary map at 10 m resolution</t>
  </si>
  <si>
    <t xml:space="preserve">FTW</t>
  </si>
  <si>
    <t xml:space="preserve">https://www.microsoft.com/en-us/research/wp-content/uploads/2026/04/FTW_Global_Map_v1.1.pdf</t>
  </si>
  <si>
    <t xml:space="preserve">Robinson et al., 2026</t>
  </si>
  <si>
    <t xml:space="preserve">C. Robinson, G. Muhawenayo, S. Khanal, et al. The First Global Agricultural Field Boundary Map at 10 m Resolution. May. 2026. DOI: 10.48550/arXiv.2605.11055. arXiv: 2605.11055 [cs.CV]. (Visited on 06/02/2026).</t>
  </si>
  <si>
    <t xml:space="preserve">GeoTFF</t>
  </si>
  <si>
    <t xml:space="preserve">Development of historical maps of land use-land cover, crop type, nutrients, and irrigation across CONUS (1938–2020) at different spatial resolutions </t>
  </si>
  <si>
    <t xml:space="preserve">HLNID</t>
  </si>
  <si>
    <t xml:space="preserve">USGS NLCD, USDA NASS CDL, LCMAP, MIrAD-US</t>
  </si>
  <si>
    <t xml:space="preserve">400 MB</t>
  </si>
  <si>
    <t xml:space="preserve">https://datadryad.org/share/0OQ59-ZZKmzDgcWs-qySOeckvainNTyILzyeuZIZH6w</t>
  </si>
  <si>
    <t xml:space="preserve">Booth &amp; Kucharik, 2026</t>
  </si>
  <si>
    <t xml:space="preserve">E. Booth and C. Kucharik. Harmonized Land Nutrient Irrigation Dataset (HLNID) for Conterminous United States, 1938-2020. May. 2026. DOI: 10.5061/DRYAD.R4XGXD2RH. (Visited on 06/22/2026).</t>
  </si>
  <si>
    <t xml:space="preserve">Mapping global cropland and field size</t>
  </si>
  <si>
    <t xml:space="preserve">Global Field Size</t>
  </si>
  <si>
    <t xml:space="preserve">GlobCover, AFRICOVER, GLC2000, CORINE LC, National LC</t>
  </si>
  <si>
    <t xml:space="preserve">https://onlinelibrary.wiley.com/doi/10.1111/gcb.12838</t>
  </si>
  <si>
    <t xml:space="preserve">Fritz et al., 2015</t>
  </si>
  <si>
    <t xml:space="preserve">S. Fritz, L. See, I. McCallum, et al. &amp;ldquo;Mapping Global Cropland and Field Size&amp;rdquo;. In: Global Change Biology 21.5 (May. 2015), pp. 1980&amp;ndash;1992. ISSN: 1354-1013, 1365-2486. DOI: 10.1111/gcb.12838. (Visited on 06/10/2026).</t>
  </si>
  <si>
    <t xml:space="preserve">TIFF</t>
  </si>
  <si>
    <t xml:space="preserve">Utilised agricultural area (UAA) managed by low-, medium- and high-input farms</t>
  </si>
  <si>
    <t xml:space="preserve">EUROSTAT Farm Intensity</t>
  </si>
  <si>
    <t xml:space="preserve">EUROSTAT</t>
  </si>
  <si>
    <t xml:space="preserve">400 KB</t>
  </si>
  <si>
    <t xml:space="preserve">https://ec.europa.eu/eurostat/databrowser/view/aei_ps_inp/default/table?lang=en&amp;category=agr.aei.aei_char</t>
  </si>
  <si>
    <t xml:space="preserve">Eurostat, 2025</t>
  </si>
  <si>
    <t xml:space="preserve">Eurostat. Landwirtschaftliche Nutzfläche Verwaltet von Landwirtschaftlichen Betrieben Mit Niedrigem, Mittlerem Und Hohem Input. 2025. DOI: 10.2908/AEI_PS_INP. (Visited on 06/10/2026).</t>
  </si>
  <si>
    <t xml:space="preserve">Agri-environmental indicators OECD</t>
  </si>
  <si>
    <t xml:space="preserve">OECD Agro Indicators</t>
  </si>
  <si>
    <t xml:space="preserve">OECD, EUROSTAT</t>
  </si>
  <si>
    <t xml:space="preserve">https://data-explorer.oecd.org/vis?lc=en&amp;df[ds]=dsDisseminateFinalDMZ&amp;df[id]=DSD_AGRI_ENV%40DF_AEI&amp;df[ag]=OECD.TAD.ARP&amp;dq=.A.TOTAGR_LAND....&amp;pd=2012%2C&amp;to[TIME_PERIOD]=false</t>
  </si>
  <si>
    <t xml:space="preserve">OECD, 2026</t>
  </si>
  <si>
    <t xml:space="preserve">OECD. Agri-Environmental Indicators. 2026.</t>
  </si>
  <si>
    <t xml:space="preserve">International Agricultural Productivity</t>
  </si>
  <si>
    <t xml:space="preserve">Productivity indices</t>
  </si>
  <si>
    <t xml:space="preserve">100 KB</t>
  </si>
  <si>
    <t xml:space="preserve">https://ourworldindata.org/grapher/machinery-per-agricultural-land</t>
  </si>
  <si>
    <t xml:space="preserve">USDA ERS, 2026</t>
  </si>
  <si>
    <t xml:space="preserve">USDA ERS. International Agricultural Productivity. 2026.</t>
  </si>
  <si>
    <t xml:space="preserve">Average farm size</t>
  </si>
  <si>
    <t xml:space="preserve">Farm Avg Size</t>
  </si>
  <si>
    <t xml:space="preserve">https://ourworldindata.org/grapher/average-farm-size?country=&amp;globe=1&amp;globeRotation=9.47%2C-301.66</t>
  </si>
  <si>
    <t xml:space="preserve">Lowder et al., 2016</t>
  </si>
  <si>
    <t xml:space="preserve">S. K. Lowder, J. Skoet, and T. Raney. &amp;ldquo;The Number, Size, and Distribution of Farms, Smallholder Farms, and Family Farms Worldwide&amp;rdquo;. In: World Development 87 (Nov. 2016), pp. 16&amp;ndash;29. ISSN: 0305750X. DOI: 10.1016/j.worlddev.2015.10.041. (Visited on 06/10/2026).</t>
  </si>
  <si>
    <t xml:space="preserve">SPAM - Yield, Production, Area</t>
  </si>
  <si>
    <t xml:space="preserve">SPAM</t>
  </si>
  <si>
    <t xml:space="preserve">MIRCA2000, GlobCover, AFRICOVER, GLC2000, ISCGM, CORINE LC, GRUMPv1, SASAM-GC</t>
  </si>
  <si>
    <t xml:space="preserve">AgroMAPS, AQUASTAT, National Statistics</t>
  </si>
  <si>
    <t xml:space="preserve">4 GB</t>
  </si>
  <si>
    <t xml:space="preserve">https://www.mapspam.info/data/</t>
  </si>
  <si>
    <t xml:space="preserve">IFPRI, 2026</t>
  </si>
  <si>
    <t xml:space="preserve">IFPRI. Global Spatially-Disaggregated Crop Production Statistics Data for 2020 Version 2.0 Release 2. May. 2026. DOI: 10.7910/DVN/SWPENT. (Visited on 06/10/2026).</t>
  </si>
  <si>
    <t xml:space="preserve">Global data set of monthly irrigated and rainfed crop areas around the year 2000</t>
  </si>
  <si>
    <t xml:space="preserve">MIRCA2000</t>
  </si>
  <si>
    <t xml:space="preserve">USDA NASS CDL, MRF 2000, CRU, ETOPO5, GMIA, CRU</t>
  </si>
  <si>
    <t xml:space="preserve">https://www.uni-frankfurt.de/45218023/MIRCA</t>
  </si>
  <si>
    <t xml:space="preserve">Portmann et al., 2010</t>
  </si>
  <si>
    <t xml:space="preserve">F. T. Portmann, S. Siebert, and P. Döll. &amp;ldquo;MIRCA2000&amp;mdash;Global Monthly Irrigated and Rainfed Crop Areas around the Year 2000: A New High-resolution Data Set for Agricultural and Hydrological Modeling&amp;rdquo;. In: Global Biogeochemical Cycles 24.1 (Mar. 2010), p. 2008GB003435. ISSN: 0886-6236, 1944-9224. DOI: 10.1029/2008GB003435. (Visited on 06/10/2026).</t>
  </si>
  <si>
    <t xml:space="preserve">EU Farm statistics experimental map</t>
  </si>
  <si>
    <t xml:space="preserve">EU Farm Statistics</t>
  </si>
  <si>
    <t xml:space="preserve">https://ec.europa.eu/eurostat/web/experimental-statistics/geospatial-data-agricultural-census</t>
  </si>
  <si>
    <t xml:space="preserve">Olav Skøien et al., 2025</t>
  </si>
  <si>
    <t xml:space="preserve">J. Olav Skøien, N. Lampach, H. Ramos, et al. &amp;ldquo;A Flexible Approach for Statistical Disclosure Control in Geospatial Data&amp;rdquo;. In: Journal of Geographical Systems 27.3 (Jul. 2025), pp. 341&amp;ndash;367. ISSN: 1435-5949. DOI: 10.1007/s10109-025-00472-5. (Visited on 03/11/2026).</t>
  </si>
  <si>
    <t xml:space="preserve">Global Map of Irrigated Areas</t>
  </si>
  <si>
    <t xml:space="preserve">GMIA</t>
  </si>
  <si>
    <t xml:space="preserve">GLC2000, USGS GLCC, </t>
  </si>
  <si>
    <t xml:space="preserve">AQUASTAT, FAOSTAT, World Bank, National Statistics</t>
  </si>
  <si>
    <t xml:space="preserve">https://www.fao.org/aquastat/en/geospatial-information/global-maps-irrigated-areas/latest-version/</t>
  </si>
  <si>
    <t xml:space="preserve">AQUASTAT, 2013</t>
  </si>
  <si>
    <t xml:space="preserve">AQUASTAT. Global Map of Irrigated Areas. 2013.</t>
  </si>
  <si>
    <t xml:space="preserve">ascii grid</t>
  </si>
  <si>
    <t xml:space="preserve">Copernicus Ploughing</t>
  </si>
  <si>
    <t xml:space="preserve">https://land.copernicus.eu/en/products/high-resolution-layer-grasslands/ploughing-indicator-2023-raster-10-m-europe-yearly</t>
  </si>
  <si>
    <t xml:space="preserve">EEA. Ploughing Indicator 2017 - Present (Raster 10 m), Europe, Yearly, Nov. 2024. 2024. DOI: 10.2909/1D25633A-6BCB-49CC-A6A6-EBC5C7B360A3. (Visited on 06/10/2026).</t>
  </si>
  <si>
    <t xml:space="preserve">Intensification trend of agroecosystems </t>
  </si>
  <si>
    <t xml:space="preserve">EU Intensity Trend</t>
  </si>
  <si>
    <t xml:space="preserve">https://sdi.eea.europa.eu/catalogue/srv/eng/catalog.search#/metadata/b3ea4f87-3472-4c29-9724-78585b416188</t>
  </si>
  <si>
    <t xml:space="preserve">EEA, 2016</t>
  </si>
  <si>
    <t xml:space="preserve">EEA. Intensification Trend of Agroecosystems. 2016.</t>
  </si>
  <si>
    <t xml:space="preserve">regional</t>
  </si>
  <si>
    <t xml:space="preserve">Moderate Resolution Imaging Spectroradiometer (MODIS) Irrigated Agriculture Dataset for the United States (MIrAD-US) </t>
  </si>
  <si>
    <t xml:space="preserve">MIrAD-US</t>
  </si>
  <si>
    <t xml:space="preserve">USGS NLCD</t>
  </si>
  <si>
    <t xml:space="preserve">USDA FSA CLU</t>
  </si>
  <si>
    <t xml:space="preserve">https://www.usgs.gov/special-topics/monitoring-vegetation-drought-stress/science/moderate-resolution-imaging</t>
  </si>
  <si>
    <t xml:space="preserve">Pervez &amp; Brown, 2010</t>
  </si>
  <si>
    <t xml:space="preserve">M. S. Pervez and J. F. Brown. &amp;ldquo;Mapping Irrigated Lands at 250-m Scale by Merging MODIS Data and National Agricultural Statistics&amp;rdquo;. In: Remote Sensing 2.10 (Oct. 2010), pp. 2388&amp;ndash;2412. ISSN: 2072-4292. DOI: 10.3390/rs2102388. (Visited on 06/10/2026).</t>
  </si>
  <si>
    <t xml:space="preserve">livestock</t>
  </si>
  <si>
    <t xml:space="preserve">Livestock</t>
  </si>
  <si>
    <t xml:space="preserve">Livestock data FAOSTAT</t>
  </si>
  <si>
    <t xml:space="preserve">FAOSTAT Livestock</t>
  </si>
  <si>
    <t xml:space="preserve">https://www.fao.org/faostat/en/#data/EK</t>
  </si>
  <si>
    <t xml:space="preserve">FAOSTAT. Livestock Patterns. 2025.</t>
  </si>
  <si>
    <t xml:space="preserve">Grazing livestock density index</t>
  </si>
  <si>
    <t xml:space="preserve">EUROSTAT Livestock</t>
  </si>
  <si>
    <t xml:space="preserve">https://ec.europa.eu/eurostat/statistics-explained/index.php?title=Glossary:Grazing_livestock_density_index</t>
  </si>
  <si>
    <t xml:space="preserve">Eurostat. Grazing Livestock Density. 2025. DOI: 10.2908/EF_FSI_GRDS. (Visited on 06/10/2026).</t>
  </si>
  <si>
    <t xml:space="preserve">Gridded livestock of the world 2-4</t>
  </si>
  <si>
    <t xml:space="preserve">GLW</t>
  </si>
  <si>
    <t xml:space="preserve">WDPA, GLC2000, IUCN, GRUMPv1, GLAD GFC</t>
  </si>
  <si>
    <t xml:space="preserve">https://www.nature.com/articles/sdata2018227</t>
  </si>
  <si>
    <t xml:space="preserve">Gilbert et al., 2018</t>
  </si>
  <si>
    <t xml:space="preserve">M. Gilbert, G. Nicolas, G. Cinardi, et al. &amp;ldquo;Global Distribution Data for Cattle, Buffaloes, Horses, Sheep, Goats, Pigs, Chickens and Ducks in 2010&amp;rdquo;. In: Scientific Data 5.1 (Oct. 2018), p. 180227. ISSN: 2052-4463. DOI: 10.1038/sdata.2018.227. (Visited on 06/10/2026).</t>
  </si>
  <si>
    <t xml:space="preserve">Harmonized livestock number dataset for Europe</t>
  </si>
  <si>
    <t xml:space="preserve">EU Livestock</t>
  </si>
  <si>
    <t xml:space="preserve">https://doi.org/10.5281/zenodo.11058509</t>
  </si>
  <si>
    <t xml:space="preserve">Malek et al., 2024</t>
  </si>
  <si>
    <t xml:space="preserve">Ž. Malek, Z. Romanchuk, O. Yashschun, et al. Harmonized Livestock Number Dataset for Europe. Apr. 2024. DOI: 10.5281/ZENODO.11058509. (Visited on 06/10/2026).</t>
  </si>
  <si>
    <t xml:space="preserve">Annual global grided livestock mapping from 1961 to 2021</t>
  </si>
  <si>
    <t xml:space="preserve">AGLW</t>
  </si>
  <si>
    <t xml:space="preserve">GLW, FROM-GLC, WorldPop</t>
  </si>
  <si>
    <t xml:space="preserve">MODIS, NOAA AVHRR</t>
  </si>
  <si>
    <t xml:space="preserve">17 GB</t>
  </si>
  <si>
    <t xml:space="preserve">https://zenodo.org/records/17128483</t>
  </si>
  <si>
    <t xml:space="preserve">Du et al., 2025</t>
  </si>
  <si>
    <t xml:space="preserve">Z. Du, L. Yu, Y. Zhao, et al. Annual Global Grided Livestock Mapping from 1961 to 2021. Sep. 2025. DOI: 10.5281/ZENODO.11545700. (Visited on 06/10/2026).</t>
  </si>
  <si>
    <t xml:space="preserve">pesticide</t>
  </si>
  <si>
    <t xml:space="preserve">Pesticide</t>
  </si>
  <si>
    <t xml:space="preserve">EU Pesticides Application Rates at 250 m</t>
  </si>
  <si>
    <t xml:space="preserve">EU Pesticides</t>
  </si>
  <si>
    <t xml:space="preserve">PEST-CHEMGRIDS, EUROSTAT Pesticide, EUCROPMAP, CORINE LC</t>
  </si>
  <si>
    <t xml:space="preserve">EU, FAOSTAT</t>
  </si>
  <si>
    <t xml:space="preserve">https://figshare.com/articles/dataset/Pesticides_application_rate_maps_in_the_European_Union_at_high_spatial_resolution/27743286</t>
  </si>
  <si>
    <t xml:space="preserve">Porta et al., 2025</t>
  </si>
  <si>
    <t xml:space="preserve">G. M. Porta, L. Casse, A. Manzoni, et al. &amp;ldquo;Pesticides Application Rate Maps in the European Union at a 250 m Spatial Resolution&amp;rdquo;. In: Scientific Data 12.1 (May. 2025), p. 725. ISSN: 2052-4463. DOI: 10.1038/s41597-025-05031-7. (Visited on 06/22/2026).</t>
  </si>
  <si>
    <t xml:space="preserve">FAOSTAT Pesticide use </t>
  </si>
  <si>
    <t xml:space="preserve">FAOSTAT Pesticide use</t>
  </si>
  <si>
    <t xml:space="preserve">500 KB</t>
  </si>
  <si>
    <t xml:space="preserve">https://www.fao.org/faostat/en/#data/RP</t>
  </si>
  <si>
    <t xml:space="preserve">FAOSTAT. Pesticides Use. 2025.</t>
  </si>
  <si>
    <t xml:space="preserve">USGS Pesticide National Synthesis Project</t>
  </si>
  <si>
    <t xml:space="preserve">USGS PNSP</t>
  </si>
  <si>
    <t xml:space="preserve">USGS</t>
  </si>
  <si>
    <t xml:space="preserve">https://water.usgs.gov/nawqa/pnsp/usage/maps/</t>
  </si>
  <si>
    <t xml:space="preserve">Wieben, 2020</t>
  </si>
  <si>
    <t xml:space="preserve">C. M. Wieben. Estimated Annual Agricultural Pesticide Use for Counties of the Conterminous United States, 2013-17 (Ver. 2.0, May 2020). 2020. DOI: 10.5066/P9F2SRYH. (Visited on 06/10/2026).</t>
  </si>
  <si>
    <t xml:space="preserve">county</t>
  </si>
  <si>
    <t xml:space="preserve">55</t>
  </si>
  <si>
    <t xml:space="preserve">EUROSTAT Pesticide sales and use</t>
  </si>
  <si>
    <t xml:space="preserve">EUROSTAT Pesticide</t>
  </si>
  <si>
    <t xml:space="preserve">https://ec.europa.eu/eurostat/databrowser/explore/all/agric?sort=category&amp;lang=en&amp;subtheme=agr.aei.aei_pes&amp;display=list</t>
  </si>
  <si>
    <t xml:space="preserve">Eurostat, 2022</t>
  </si>
  <si>
    <t xml:space="preserve">Eurostat. Pesticide Use in Agriculture. 2022. DOI: 10.2908/AEI_PESTUSE. (Visited on 06/10/2026).</t>
  </si>
  <si>
    <t xml:space="preserve">PEST-CHEMGRIDS Global Pesticide Application Rates</t>
  </si>
  <si>
    <t xml:space="preserve">PEST-CHEMGRIDS</t>
  </si>
  <si>
    <t xml:space="preserve">SOILGRIDS, MRF 2000</t>
  </si>
  <si>
    <t xml:space="preserve">USGS PNSP, FAOSTAT, NASA/SEDAC</t>
  </si>
  <si>
    <t xml:space="preserve">5 GB</t>
  </si>
  <si>
    <t xml:space="preserve">https://figshare.com/articles/dataset/PESTCHEMGRIDS_v2_01_beta_version_/25854769</t>
  </si>
  <si>
    <t xml:space="preserve">Maggi et al., 2019</t>
  </si>
  <si>
    <t xml:space="preserve">F. Maggi, F. H. M. Tang, D. la Cecilia, et al. &amp;ldquo;PEST-CHEMGRIDS, Global Gridded Maps of the Top 20 Crop-Specific Pesticide Application Rates from 2015 to 2025&amp;rdquo;. In: Scientific Data 6.1 (Sep. 2019), p. 170. ISSN: 2052-4463. DOI: 10.1038/s41597-019-0169-4. (Visited on 06/22/2026).</t>
  </si>
  <si>
    <t xml:space="preserve">elevation</t>
  </si>
  <si>
    <t xml:space="preserve">USGS 3D Elevation</t>
  </si>
  <si>
    <t xml:space="preserve">Lidar</t>
  </si>
  <si>
    <t xml:space="preserve">NA</t>
  </si>
  <si>
    <t xml:space="preserve">ETOPO5</t>
  </si>
  <si>
    <t xml:space="preserve">Copernicus DEM</t>
  </si>
  <si>
    <t xml:space="preserve">environment</t>
  </si>
  <si>
    <t xml:space="preserve">Long term Global Land Change (1982 - 2016)</t>
  </si>
  <si>
    <t xml:space="preserve">GLAD LGLC</t>
  </si>
  <si>
    <t xml:space="preserve">IFL, GBG</t>
  </si>
  <si>
    <t xml:space="preserve">MODIS, NOAA-16, NOAA AVHRR</t>
  </si>
  <si>
    <t xml:space="preserve">6 MB</t>
  </si>
  <si>
    <t xml:space="preserve">https://glad.umd.edu/dataset/long-term-global-land-change</t>
  </si>
  <si>
    <t xml:space="preserve">Song et al., 2018</t>
  </si>
  <si>
    <t xml:space="preserve">X. Song, M. C. Hansen, S. V. Stehman, et al. &amp;ldquo;Global Land Change from 1982 to 2016&amp;rdquo;. In: Nature 560.7720 (Aug. 2018), pp. 639&amp;ndash;643. ISSN: 1476-4687. DOI: 10.1038/s41586-018-0411-9. (Visited on 06/10/2026).</t>
  </si>
  <si>
    <t xml:space="preserve">35 year</t>
  </si>
  <si>
    <t xml:space="preserve">biome</t>
  </si>
  <si>
    <t xml:space="preserve">Ecoregions2017</t>
  </si>
  <si>
    <t xml:space="preserve">FAO</t>
  </si>
  <si>
    <t xml:space="preserve">forest</t>
  </si>
  <si>
    <t xml:space="preserve">drivers</t>
  </si>
  <si>
    <t xml:space="preserve">WRI/Google DeepMind Global Drivers of Forest Loss 2001-2024 v1.2</t>
  </si>
  <si>
    <t xml:space="preserve">Deepmind deforestation</t>
  </si>
  <si>
    <t xml:space="preserve">GLAD GFC, GHSL, Copernicus DEM</t>
  </si>
  <si>
    <t xml:space="preserve">https://zenodo.org/records/15366671</t>
  </si>
  <si>
    <t xml:space="preserve">Sims, M., Stanimirova, R., Raichuk, A., Neumann, M., Richter, J., Follett, F., MacCarthy, J., Lister, K., Randle, C., Sloat, L., Esipova, E., Jupiter, J., Stanton, C., Morris, D., Slay, C. M., Purves, D., &amp; Harris, N. (2025). Global drivers of forest loss at 1 km resolution [Data set]. Zenodo. https://doi.org/10.5281/zenodo.15366671</t>
  </si>
  <si>
    <t xml:space="preserve">Global Forest Change 2000-2012</t>
  </si>
  <si>
    <t xml:space="preserve">Landsat-4, Landsat-5, Landsat-7</t>
  </si>
  <si>
    <t xml:space="preserve">https://www.science.org/doi/10.1126/science.1244693</t>
  </si>
  <si>
    <t xml:space="preserve">M. C. Hansen et al. ,High-Resolution Global Maps of 21st-Century Forest Cover Change.Science342,850-853(2013).DOI:10.1126/science.1244693</t>
  </si>
  <si>
    <t xml:space="preserve">Intact Forest Landscape</t>
  </si>
  <si>
    <t xml:space="preserve">IFL</t>
  </si>
  <si>
    <t xml:space="preserve">Landsat-ARD</t>
  </si>
  <si>
    <t xml:space="preserve">https://www.science.org/doi/10.1126/sciadv.1600821</t>
  </si>
  <si>
    <t xml:space="preserve">impact</t>
  </si>
  <si>
    <t xml:space="preserve">light</t>
  </si>
  <si>
    <t xml:space="preserve">Last of the Wild Project, Version 2, 2005 (LWP-2): Global Human Influence Index (HII) Dataset (Geographic)</t>
  </si>
  <si>
    <t xml:space="preserve">Last of the wild</t>
  </si>
  <si>
    <t xml:space="preserve">https://www.earthdata.nasa.gov/data/catalog/sedac-ciesin-sedac-lwp2-hii-geog-2.0</t>
  </si>
  <si>
    <t xml:space="preserve">Global nighttime light dataset from 1992 to 2022</t>
  </si>
  <si>
    <t xml:space="preserve">Nighttime light</t>
  </si>
  <si>
    <t xml:space="preserve">30 MB</t>
  </si>
  <si>
    <t xml:space="preserve">https://www.nature.com/articles/s41597-025-05246-8#Sec8</t>
  </si>
  <si>
    <r>
      <rPr>
        <sz val="11"/>
        <color theme="1"/>
        <rFont val="Arial"/>
        <family val="0"/>
        <charset val="1"/>
      </rPr>
      <t xml:space="preserve">Tang, hui; Zhong, yongde; Xia, hongling, 2024, "Global nighttime light dataset from 1992 to 2022 with focus on low-light areas</t>
    </r>
    <r>
      <rPr>
        <sz val="11"/>
        <color theme="1"/>
        <rFont val="Noto Sans CJK SC"/>
        <family val="2"/>
      </rPr>
      <t xml:space="preserve">（</t>
    </r>
    <r>
      <rPr>
        <sz val="11"/>
        <color theme="1"/>
        <rFont val="Arial"/>
        <family val="0"/>
        <charset val="1"/>
      </rPr>
      <t xml:space="preserve">updated</t>
    </r>
    <r>
      <rPr>
        <sz val="11"/>
        <color theme="1"/>
        <rFont val="Noto Sans CJK SC"/>
        <family val="2"/>
      </rPr>
      <t xml:space="preserve">）</t>
    </r>
    <r>
      <rPr>
        <sz val="11"/>
        <color theme="1"/>
        <rFont val="Arial"/>
        <family val="0"/>
        <charset val="1"/>
      </rPr>
      <t xml:space="preserve">", https://doi.org/10.7910/DVN/15IKI5, Harvard Dataverse, V2</t>
    </r>
  </si>
  <si>
    <t xml:space="preserve">cellular</t>
  </si>
  <si>
    <t xml:space="preserve">Global coverage of mobile services</t>
  </si>
  <si>
    <t xml:space="preserve">Ramankutty mobile</t>
  </si>
  <si>
    <t xml:space="preserve">https://www.nature.com/articles/s41893-020-00631-0</t>
  </si>
  <si>
    <t xml:space="preserve">accessibility</t>
  </si>
  <si>
    <t xml:space="preserve">A suite of global accessibility indicators</t>
  </si>
  <si>
    <t xml:space="preserve">Accessibility</t>
  </si>
  <si>
    <t xml:space="preserve">GHSL, </t>
  </si>
  <si>
    <t xml:space="preserve">https://www.nature.com/articles/s41597-024-04139-6#Sec2</t>
  </si>
  <si>
    <t xml:space="preserve">Nelson, A., Weiss, D.J., van Etten, J. et al. A suite of global accessibility indicators. Sci Data 6, 266 (2019). https://doi.org/10.1038/s41597-019-0265-5</t>
  </si>
  <si>
    <t xml:space="preserve">1 km </t>
  </si>
  <si>
    <t xml:space="preserve">bare ground</t>
  </si>
  <si>
    <t xml:space="preserve">Global bare ground gain from 2000 to 2012 using Landsat imagery</t>
  </si>
  <si>
    <t xml:space="preserve">GBG</t>
  </si>
  <si>
    <t xml:space="preserve">Landsat-7, MODIS</t>
  </si>
  <si>
    <t xml:space="preserve">https://www.sciencedirect.com/science/article/pii/S0034425717301244#s0010</t>
  </si>
  <si>
    <t xml:space="preserve">embeddings</t>
  </si>
  <si>
    <t xml:space="preserve">AlphaEarth Foundations: An embedding field
model for accurate and efficient global
mapping from sparse label data</t>
  </si>
  <si>
    <t xml:space="preserve">Sentinel-1, Sentinel-2, Landsat-8, Landsat-9, Copernicus DEM</t>
  </si>
  <si>
    <t xml:space="preserve">GBIF</t>
  </si>
  <si>
    <t xml:space="preserve">https://deepmind.google/blog/alphaearth-foundations-helps-map-our-planet-in-unprecedented-detail/</t>
  </si>
  <si>
    <t xml:space="preserve">Brown, C. F., Kazmierski, M. R., Pasquarella, V. J., Rucklidge, W. J., Samsikova, M., Zhang, C., Shelhamer, E., Lahera, E., Wiles, O., Ilyushchenko, S., Gorelick, N., Zhang, L. L., Alj, S., Schechter, E., Askay, S., Guinan, O., Moore, R., Boukouvalas, A., &amp; Kohli, P. (2025). AlphaEarth Foundations: An embedding field model for accurate and efficient global mapping from sparse label data (arXiv:2507.22291). arXiv. https://doi.org/10.48550/arXiv.2507.22291</t>
  </si>
  <si>
    <t xml:space="preserve">CORINE Land Cover</t>
  </si>
  <si>
    <t xml:space="preserve">CORINE LC</t>
  </si>
  <si>
    <t xml:space="preserve">Landsat-5, Landsat-7, SPOT-4, SPOT-5, ResourceSat-2, RapidEye, Sentinel-2, Landsat-8</t>
  </si>
  <si>
    <t xml:space="preserve"> </t>
  </si>
  <si>
    <t xml:space="preserve">125 MB</t>
  </si>
  <si>
    <t xml:space="preserve">https://land.copernicus.eu/en/products/corine-land-cover</t>
  </si>
  <si>
    <t xml:space="preserve">Copernicus</t>
  </si>
  <si>
    <t xml:space="preserve">population</t>
  </si>
  <si>
    <t xml:space="preserve">Resident population grid</t>
  </si>
  <si>
    <t xml:space="preserve">Resident pop</t>
  </si>
  <si>
    <t xml:space="preserve">https://human-settlement.emergency.copernicus.eu/ghs_pop2023.php</t>
  </si>
  <si>
    <t xml:space="preserve">Schiavina M., Freire S., Carioli A., MacManus K. (2023):
 GHS-POP R2023A - GHS population grid multitemporal (1975-2030).European Commission, Joint Research Centre (JRC)
 PID: http://data.europa.eu/89h/2ff68a52-5b5b-4a22-8f40-c41da8332cfe, doi:10.2905/2FF68A52-5B5B-4A22-8F40-C41DA8332CFE</t>
  </si>
  <si>
    <t xml:space="preserve">Global Human Settlement Layer</t>
  </si>
  <si>
    <t xml:space="preserve">GHSL</t>
  </si>
  <si>
    <t xml:space="preserve">Global Rural-Urban Mapping Project, Version 1</t>
  </si>
  <si>
    <t xml:space="preserve">GRUMPv1</t>
  </si>
  <si>
    <t xml:space="preserve">https://dataverse.harvard.edu/dataset.xhtml?persistentId=doi:10.7910/DVN/USMCOR</t>
  </si>
  <si>
    <t xml:space="preserve">LandScan Global 30 Arcsecond Annual Global Gridded Population Datasets from 2000 to 2022</t>
  </si>
  <si>
    <t xml:space="preserve">LandScan</t>
  </si>
  <si>
    <t xml:space="preserve">https://www.nature.com/articles/s41597-025-04817-z#Sec2</t>
  </si>
  <si>
    <t xml:space="preserve">WorldPop Global Population Density</t>
  </si>
  <si>
    <t xml:space="preserve">WorldPop</t>
  </si>
  <si>
    <t xml:space="preserve">type</t>
  </si>
  <si>
    <t xml:space="preserve">Land Cover (GLCNMO) - Global version</t>
  </si>
  <si>
    <t xml:space="preserve">GLCNMO</t>
  </si>
  <si>
    <t xml:space="preserve">ESA Land Cover consortium maps</t>
  </si>
  <si>
    <t xml:space="preserve">ESA LC</t>
  </si>
  <si>
    <t xml:space="preserve">ENVISAT, Sentinel-1, Sentinel-2</t>
  </si>
  <si>
    <t xml:space="preserve">NOAA AVHRR</t>
  </si>
  <si>
    <t xml:space="preserve">Global Land Cover 2000</t>
  </si>
  <si>
    <t xml:space="preserve">SPOT-4</t>
  </si>
  <si>
    <t xml:space="preserve">Global Land Cover Characterization</t>
  </si>
  <si>
    <t xml:space="preserve">USGS GLCC</t>
  </si>
  <si>
    <t xml:space="preserve">Corine Land Cover Plus Backbone</t>
  </si>
  <si>
    <t xml:space="preserve">CLCplus backbone</t>
  </si>
  <si>
    <t xml:space="preserve">NASA GDEM</t>
  </si>
  <si>
    <t xml:space="preserve">HJ-1A, HJ-1B, Landsat-5, CBERS</t>
  </si>
  <si>
    <t xml:space="preserve">http://www.geodata.cn/data/datadetails.html?dataguid=1471197&amp;docId=12230</t>
  </si>
  <si>
    <t xml:space="preserve">SERVIR</t>
  </si>
  <si>
    <t xml:space="preserve">Finer Resolution Observation and Monitoring of Global Land Cover</t>
  </si>
  <si>
    <t xml:space="preserve">FROM-GLC</t>
  </si>
  <si>
    <t xml:space="preserve">Landsat-4, Landsat-5, Landsat-7, MODIS</t>
  </si>
  <si>
    <t xml:space="preserve">https://www.dess.tsinghua.edu.cn/info/1120/1418.htm</t>
  </si>
  <si>
    <t xml:space="preserve">GlobCover</t>
  </si>
  <si>
    <t xml:space="preserve">ENVISAT</t>
  </si>
  <si>
    <t xml:space="preserve">300 m</t>
  </si>
  <si>
    <t xml:space="preserve">0.3</t>
  </si>
  <si>
    <t xml:space="preserve">AFRICOVER</t>
  </si>
  <si>
    <t xml:space="preserve">Landsat-5, Landsat-7, SPOT, ERS, IRS-1C, RADARSAT</t>
  </si>
  <si>
    <t xml:space="preserve">Copernicus Land Cover</t>
  </si>
  <si>
    <t xml:space="preserve">Copernicus LC</t>
  </si>
  <si>
    <t xml:space="preserve">PROBA-V</t>
  </si>
  <si>
    <t xml:space="preserve">Globeland30</t>
  </si>
  <si>
    <t xml:space="preserve">Landsat-4, Landsat-5, Landsat-7, HJ-1</t>
  </si>
  <si>
    <t xml:space="preserve">Australia Dynamic Land Cover Dataset</t>
  </si>
  <si>
    <t xml:space="preserve">Australia DLCD</t>
  </si>
  <si>
    <t xml:space="preserve">RCMRD Land Cover</t>
  </si>
  <si>
    <t xml:space="preserve">RCMRD LC</t>
  </si>
  <si>
    <t xml:space="preserve">South Africa Land Cover</t>
  </si>
  <si>
    <t xml:space="preserve">South Africa LC</t>
  </si>
  <si>
    <t xml:space="preserve">USGS National Land Cover Database</t>
  </si>
  <si>
    <t xml:space="preserve">USDA NASS CDL, USGS 3D Elevation, USDA NASIS</t>
  </si>
  <si>
    <t xml:space="preserve">Landsat-5, Landsat-7, Landsat-8</t>
  </si>
  <si>
    <t xml:space="preserve">Land Change Monitoring, Assessment, and Projection</t>
  </si>
  <si>
    <t xml:space="preserve">LCMAP</t>
  </si>
  <si>
    <t xml:space="preserve">urban</t>
  </si>
  <si>
    <t xml:space="preserve">Degree of urbanization</t>
  </si>
  <si>
    <t xml:space="preserve">Urbanization</t>
  </si>
  <si>
    <t xml:space="preserve">https://human-settlement.emergency.copernicus.eu/ghs_smod2023.php</t>
  </si>
  <si>
    <t xml:space="preserve">Schiavina M., Melchiorri M., Pesaresi M. (2023):
 GHS-SMOD R2023A - GHS settlement layers, application of the Degree of Urbanisation methodology (stage I) to GHS-POP R2023A and GHS-BUILT-S R2023A, multitemporal (1975-2030)European Commission, Joint Research Centre (JRC)
 PID: http://data.europa.eu/89h/a0df7a6f-49de-46ea-9bde-563437a6e2ba, doi:10.2905/A0DF7A6F-49DE-46EA-9BDE-563437A6E2BA</t>
  </si>
  <si>
    <t xml:space="preserve">Global Intra-Urban Land Use</t>
  </si>
  <si>
    <t xml:space="preserve">Intra-Urban Land Use</t>
  </si>
  <si>
    <t xml:space="preserve">https://gee-community-catalog.org/projects/giulu/</t>
  </si>
  <si>
    <t xml:space="preserve">Guzder-Williams, Brookie, Eric Mackres, Shlomo Angel, Alejandro M. Blei, and Patrick Lamson-Hall. "Intra-urban land use maps for a global sample of cities from Sentinel-2 satellite imagery and computer vision." Computers, Environment and Urban Systems 100 (2023): 101917.</t>
  </si>
  <si>
    <t xml:space="preserve">5 m</t>
  </si>
  <si>
    <t xml:space="preserve">0.005</t>
  </si>
  <si>
    <t xml:space="preserve">European Settlement Map 2015</t>
  </si>
  <si>
    <t xml:space="preserve">Europe settlement</t>
  </si>
  <si>
    <t xml:space="preserve">SPOT-6, SPOT-7, Pleiades, GeoEye, Worldview-2, Worldview-3, Deimos-2</t>
  </si>
  <si>
    <t xml:space="preserve">https://human-settlement.emergency.copernicus.eu/esm_R2019.php</t>
  </si>
  <si>
    <t xml:space="preserve">Corbane C., Sabo F. (2019):
 European Settlement Map from Copernicus Very High Resolution data for reference year 2015, Public Release 2019.European Commission, Joint Research Centre (JRC)doi: 10.2905/8BD2B792-CC33-4C11-AFD1-B8DD60B44F3B PID: http://data.europa.eu/89h/8bd2b792-cc33-4c11-afd1-b8dd60b44f3b</t>
  </si>
  <si>
    <t xml:space="preserve">2 m, 10 m</t>
  </si>
  <si>
    <t xml:space="preserve">0.002</t>
  </si>
  <si>
    <t xml:space="preserve">Global Urban Footprint</t>
  </si>
  <si>
    <t xml:space="preserve">GUF</t>
  </si>
  <si>
    <t xml:space="preserve">Corine HRL Imperviousness</t>
  </si>
  <si>
    <t xml:space="preserve">HRL Imperviousness</t>
  </si>
  <si>
    <t xml:space="preserve">vegetation</t>
  </si>
  <si>
    <t xml:space="preserve">Ramankutty potential natural vegetation</t>
  </si>
  <si>
    <t xml:space="preserve">Ramankutty Vegetation</t>
  </si>
  <si>
    <t xml:space="preserve">NOAA AVHRR, MODIS, NOAA-14</t>
  </si>
  <si>
    <t xml:space="preserve">https://www.earthdata.nasa.gov/data/catalog/ornl-cloud-potential-veg-xdeg-961-1</t>
  </si>
  <si>
    <t xml:space="preserve">productivity</t>
  </si>
  <si>
    <t xml:space="preserve">HANPP</t>
  </si>
  <si>
    <t xml:space="preserve">HANPP Collection: Global Patterns in Human Appropriation of Net Primary Productivity (HANPP)</t>
  </si>
  <si>
    <t xml:space="preserve">HANPP collection</t>
  </si>
  <si>
    <t xml:space="preserve">https://www.earthdata.nasa.gov/data/catalog/sedac-ciesin-sedac-hanpp-1.0</t>
  </si>
  <si>
    <t xml:space="preserve">Imhoff, M. L., Bounoua, L., Ricketts, T., Loucks, C., Harriss, R., &amp;amp; Lawrence, W. T. (2004). &lt;i&gt;HANPP Collection: Global Patterns in Human Appropriation of Net Primary Productivity (HANPP)&lt;/i&gt; (Version 1.00) [Data set]. Palisades, NY: NASA Socioeconomic Data and Applications Center (SEDAC). https://doi.org/10.7927/H44Q7RWV Date Accessed: 2026-01-22</t>
  </si>
  <si>
    <t xml:space="preserve">NPP</t>
  </si>
  <si>
    <t xml:space="preserve">MODIS/Terra Net Primary Production Gap-Filled Yearly L4 Global 500m SIN Grid V061</t>
  </si>
  <si>
    <t xml:space="preserve">MODIS NPP</t>
  </si>
  <si>
    <t xml:space="preserve">10GB</t>
  </si>
  <si>
    <t xml:space="preserve">https://www.earthdata.nasa.gov/data/catalog/lpcloud-mod17a3hgf-061</t>
  </si>
  <si>
    <t xml:space="preserve">Running, S., &amp;amp; Zhao, M. (2021). &lt;i&gt;MODIS/Terra Net Primary Production Gap-Filled Yearly L4 Global 500m SIN Grid V061&lt;/i&gt; [Data set]. NASA Land Processes Distributed Active Archive Center. https://doi.org/10.5067/MODIS/MOD17A3HGF.061 Date Accessed: 2026-01-22</t>
  </si>
  <si>
    <t xml:space="preserve">MIAMI-LU Model NPP and Recovery</t>
  </si>
  <si>
    <t xml:space="preserve">MIAMI-LU</t>
  </si>
  <si>
    <t xml:space="preserve">https://www.pnas.org/doi/10.1073/pnas.012249999</t>
  </si>
  <si>
    <t xml:space="preserve">soil</t>
  </si>
  <si>
    <t xml:space="preserve">carbon</t>
  </si>
  <si>
    <t xml:space="preserve">Global soil organic carbon</t>
  </si>
  <si>
    <t xml:space="preserve">GlobalSoil Carbon</t>
  </si>
  <si>
    <t xml:space="preserve">800 MB</t>
  </si>
  <si>
    <t xml:space="preserve">https://www.fao.org/soils-portal/data-hub/soil-maps-and-databases/global-soil-organic-carbon-map-gsocmap/en/</t>
  </si>
  <si>
    <t xml:space="preserve">salts</t>
  </si>
  <si>
    <t xml:space="preserve">Global salt affected soils</t>
  </si>
  <si>
    <t xml:space="preserve">GlobalSoil Salt</t>
  </si>
  <si>
    <t xml:space="preserve">https://www.fao.org/soils-portal/data-hub/soil-maps-and-databases/global-map-of-salt-affected-soils/en/</t>
  </si>
  <si>
    <t xml:space="preserve">SoilGrids</t>
  </si>
  <si>
    <t xml:space="preserve">SOILGRIDS</t>
  </si>
  <si>
    <t xml:space="preserve">ISRIC, LUCAS</t>
  </si>
  <si>
    <t xml:space="preserve">MB</t>
  </si>
  <si>
    <t xml:space="preserve">https://isric.org/explore/soilgrids</t>
  </si>
  <si>
    <t xml:space="preserve">Harmonized World Soild Database</t>
  </si>
  <si>
    <t xml:space="preserve">HarmonizedWorldSoil</t>
  </si>
  <si>
    <t xml:space="preserve">https://www.fao.org/soils-portal/data-hub/soil-maps-and-databases/harmonized-world-soil-database-v20/en/</t>
  </si>
  <si>
    <t xml:space="preserve">LUCAS 2009 TOPSOIL</t>
  </si>
  <si>
    <t xml:space="preserve">LUCAS TOPSOIL</t>
  </si>
  <si>
    <t xml:space="preserve">LUCAS</t>
  </si>
  <si>
    <t xml:space="preserve">https://esdac.jrc.ec.europa.eu/content/lucas-2009-topsoil-data</t>
  </si>
  <si>
    <t xml:space="preserve">Toth G., Jones A., Montanarella L. (2013) The LUCAS topsoil database and derived information on the regional variability of cropland topsoil properties in the European Union. Environmental Monitoring and Assessment, 185 (9), pp. 7409-7425.</t>
  </si>
  <si>
    <t xml:space="preserve">statistics</t>
  </si>
  <si>
    <t xml:space="preserve">NASA Harvest</t>
  </si>
  <si>
    <t xml:space="preserve">NASA</t>
  </si>
  <si>
    <t xml:space="preserve">https://www.nasaharvest.org/</t>
  </si>
  <si>
    <t xml:space="preserve">USDA Farm Service Agency Common Land Unit</t>
  </si>
  <si>
    <t xml:space="preserve">USDA</t>
  </si>
  <si>
    <t xml:space="preserve">The National Commodity Crop Productivity Index (NCCPI)</t>
  </si>
  <si>
    <t xml:space="preserve">USDA NCCPI</t>
  </si>
  <si>
    <t xml:space="preserve">USDA NASIS</t>
  </si>
  <si>
    <t xml:space="preserve">National Soil Information System (NASIS)</t>
  </si>
  <si>
    <t xml:space="preserve">Identification system for agricultural parcels</t>
  </si>
  <si>
    <t xml:space="preserve">EU LPIS</t>
  </si>
  <si>
    <t xml:space="preserve">Joint Experiment for Crop Assessment and Monitoring</t>
  </si>
  <si>
    <t xml:space="preserve">JECAM</t>
  </si>
  <si>
    <t xml:space="preserve">inputName</t>
  </si>
  <si>
    <t xml:space="preserve">inputType</t>
  </si>
  <si>
    <t xml:space="preserve">inputGroup</t>
  </si>
  <si>
    <t xml:space="preserve">inputAgency</t>
  </si>
  <si>
    <t xml:space="preserve">CBERS</t>
  </si>
  <si>
    <t xml:space="preserve">CNSA</t>
  </si>
  <si>
    <t xml:space="preserve">Deimos-1</t>
  </si>
  <si>
    <t xml:space="preserve">Deimos-2</t>
  </si>
  <si>
    <t xml:space="preserve">ESA</t>
  </si>
  <si>
    <t xml:space="preserve">ERS</t>
  </si>
  <si>
    <t xml:space="preserve">GeoEye</t>
  </si>
  <si>
    <t xml:space="preserve">HJ-1</t>
  </si>
  <si>
    <t xml:space="preserve">HJ</t>
  </si>
  <si>
    <t xml:space="preserve">HJ-1A</t>
  </si>
  <si>
    <t xml:space="preserve">HJ-1B</t>
  </si>
  <si>
    <t xml:space="preserve">IRS-1B</t>
  </si>
  <si>
    <t xml:space="preserve">ISRO</t>
  </si>
  <si>
    <t xml:space="preserve">IRS-1C</t>
  </si>
  <si>
    <t xml:space="preserve">Landsat-4</t>
  </si>
  <si>
    <t xml:space="preserve">Landsat-5</t>
  </si>
  <si>
    <t xml:space="preserve">Landsat-7</t>
  </si>
  <si>
    <t xml:space="preserve">Landsat-8</t>
  </si>
  <si>
    <t xml:space="preserve">Landsat-9</t>
  </si>
  <si>
    <t xml:space="preserve">Landsat-ARD2</t>
  </si>
  <si>
    <t xml:space="preserve">NOAA</t>
  </si>
  <si>
    <t xml:space="preserve">NOAA-14</t>
  </si>
  <si>
    <t xml:space="preserve">NOAA-16</t>
  </si>
  <si>
    <t xml:space="preserve">Pleiades</t>
  </si>
  <si>
    <t xml:space="preserve">Pléiades</t>
  </si>
  <si>
    <t xml:space="preserve">RADARSAT</t>
  </si>
  <si>
    <t xml:space="preserve">CSA</t>
  </si>
  <si>
    <t xml:space="preserve">RADARSAT-2</t>
  </si>
  <si>
    <t xml:space="preserve">RapidEye</t>
  </si>
  <si>
    <t xml:space="preserve">ResourceSat-1</t>
  </si>
  <si>
    <t xml:space="preserve">ResourceSat-2</t>
  </si>
  <si>
    <t xml:space="preserve">Sentinel-1</t>
  </si>
  <si>
    <t xml:space="preserve">SPOT</t>
  </si>
  <si>
    <t xml:space="preserve">SPOT-5</t>
  </si>
  <si>
    <t xml:space="preserve">SPOT-6</t>
  </si>
  <si>
    <t xml:space="preserve">SPOT-7</t>
  </si>
  <si>
    <t xml:space="preserve">UK-DMC-2</t>
  </si>
  <si>
    <t xml:space="preserve">DMC</t>
  </si>
  <si>
    <t xml:space="preserve">Google/Bing</t>
  </si>
  <si>
    <t xml:space="preserve">Worldview-2</t>
  </si>
  <si>
    <t xml:space="preserve">MAXAR</t>
  </si>
  <si>
    <t xml:space="preserve">Worldview-3</t>
  </si>
  <si>
    <t xml:space="preserve">UN</t>
  </si>
  <si>
    <t xml:space="preserve">CAMI</t>
  </si>
  <si>
    <t xml:space="preserve">CTIC</t>
  </si>
  <si>
    <t xml:space="preserve">FAO WCA</t>
  </si>
  <si>
    <t xml:space="preserve">FertiStat</t>
  </si>
  <si>
    <t xml:space="preserve">GEOGLAM</t>
  </si>
  <si>
    <t xml:space="preserve">GSAA</t>
  </si>
  <si>
    <t xml:space="preserve">IFA</t>
  </si>
  <si>
    <t xml:space="preserve">ISRIC</t>
  </si>
  <si>
    <t xml:space="preserve">NASA/SEDAC</t>
  </si>
  <si>
    <t xml:space="preserve">NOAA-NGDC</t>
  </si>
  <si>
    <t xml:space="preserve">OECD</t>
  </si>
  <si>
    <t xml:space="preserve">USDA ERS</t>
  </si>
  <si>
    <t xml:space="preserve">World Bank</t>
  </si>
  <si>
    <t xml:space="preserve">WorldBank</t>
  </si>
  <si>
    <t xml:space="preserve">WWF</t>
  </si>
</sst>
</file>

<file path=xl/styles.xml><?xml version="1.0" encoding="utf-8"?>
<styleSheet xmlns="http://schemas.openxmlformats.org/spreadsheetml/2006/main">
  <numFmts count="2">
    <numFmt numFmtId="164" formatCode="General"/>
    <numFmt numFmtId="165" formatCode="@"/>
  </numFmts>
  <fonts count="10">
    <font>
      <sz val="10"/>
      <color rgb="FF000000"/>
      <name val="Arial"/>
      <family val="0"/>
      <charset val="1"/>
    </font>
    <font>
      <sz val="10"/>
      <name val="Arial"/>
      <family val="0"/>
    </font>
    <font>
      <sz val="10"/>
      <name val="Arial"/>
      <family val="0"/>
    </font>
    <font>
      <sz val="10"/>
      <name val="Arial"/>
      <family val="0"/>
    </font>
    <font>
      <sz val="11"/>
      <color theme="1"/>
      <name val="Arial"/>
      <family val="0"/>
      <charset val="1"/>
    </font>
    <font>
      <u val="single"/>
      <sz val="11"/>
      <color rgb="FF0000FF"/>
      <name val="Cambria"/>
      <family val="0"/>
      <charset val="1"/>
    </font>
    <font>
      <i val="true"/>
      <u val="single"/>
      <sz val="11"/>
      <color rgb="FF0000FF"/>
      <name val="Cambria"/>
      <family val="0"/>
      <charset val="1"/>
    </font>
    <font>
      <b val="true"/>
      <u val="single"/>
      <sz val="11"/>
      <color rgb="FF0000FF"/>
      <name val="Cambria"/>
      <family val="0"/>
      <charset val="1"/>
    </font>
    <font>
      <sz val="11"/>
      <color theme="1"/>
      <name val="Noto Sans CJK SC"/>
      <family val="2"/>
    </font>
    <font>
      <sz val="11"/>
      <color rgb="FF222222"/>
      <name val="-apple-system"/>
      <family val="0"/>
      <charset val="1"/>
    </font>
  </fonts>
  <fills count="4">
    <fill>
      <patternFill patternType="none"/>
    </fill>
    <fill>
      <patternFill patternType="gray125"/>
    </fill>
    <fill>
      <patternFill patternType="solid">
        <fgColor rgb="FF93C47D"/>
        <bgColor rgb="FF969696"/>
      </patternFill>
    </fill>
    <fill>
      <patternFill patternType="solid">
        <fgColor rgb="FFFFFFFF"/>
        <bgColor rgb="FFFFFFCC"/>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4"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9" fillId="3"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222222"/>
          <bgColor rgb="FF000000"/>
        </patternFill>
      </fill>
    </dxf>
    <dxf>
      <fill>
        <patternFill patternType="solid">
          <fgColor rgb="FF93C47D"/>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93C47D"/>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22222"/>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developers.google.com/earth-engine/datasets/catalog/AAFC_ACI" TargetMode="External"/><Relationship Id="rId2" Type="http://schemas.openxmlformats.org/officeDocument/2006/relationships/hyperlink" Target="https://data.jrc.ec.europa.eu/dataset/15f86c84-eae1-4723-8e00-c1b35c8f56b9" TargetMode="External"/><Relationship Id="rId3" Type="http://schemas.openxmlformats.org/officeDocument/2006/relationships/hyperlink" Target="https://www.tandfonline.com/doi/full/10.1080/17474230701622940" TargetMode="External"/><Relationship Id="rId4" Type="http://schemas.openxmlformats.org/officeDocument/2006/relationships/hyperlink" Target="https://essd.copernicus.org/articles/17/3473/2025/" TargetMode="External"/><Relationship Id="rId5" Type="http://schemas.openxmlformats.org/officeDocument/2006/relationships/hyperlink" Target="https://www.agriculture.gov.au/abares/aclump/land-use/catchment-scale-land-use-report" TargetMode="External"/><Relationship Id="rId6" Type="http://schemas.openxmlformats.org/officeDocument/2006/relationships/hyperlink" Target="https://www.prepdata.org/dataset/PREP_0500" TargetMode="External"/><Relationship Id="rId7" Type="http://schemas.openxmlformats.org/officeDocument/2006/relationships/hyperlink" Target="https://ceos.org/gst/HILDAplus.html" TargetMode="External"/><Relationship Id="rId8" Type="http://schemas.openxmlformats.org/officeDocument/2006/relationships/hyperlink" Target="https://zenodo.org/records/18180184" TargetMode="External"/><Relationship Id="rId9" Type="http://schemas.openxmlformats.org/officeDocument/2006/relationships/hyperlink" Target="https://doi.org/10.5281/zenodo.18180184" TargetMode="External"/><Relationship Id="rId10" Type="http://schemas.openxmlformats.org/officeDocument/2006/relationships/hyperlink" Target="https://luh.umd.edu/index.shtml" TargetMode="External"/><Relationship Id="rId11" Type="http://schemas.openxmlformats.org/officeDocument/2006/relationships/hyperlink" Target="https://landuse.sites.uu.nl/hyde-project/" TargetMode="External"/><Relationship Id="rId12" Type="http://schemas.openxmlformats.org/officeDocument/2006/relationships/hyperlink" Target="https://dataverse.harvard.edu/dataset.xhtml?persistentId=doi:10.7910/DVN/6KKAWS" TargetMode="External"/><Relationship Id="rId13" Type="http://schemas.openxmlformats.org/officeDocument/2006/relationships/hyperlink" Target="https://brasil.mapbiomas.org/en/iniciativas-mapbiomas/" TargetMode="External"/><Relationship Id="rId14" Type="http://schemas.openxmlformats.org/officeDocument/2006/relationships/hyperlink" Target="https://www.ga.gov.au/scientific-topics/dea/dea-data-and-products/dea-land-cover" TargetMode="External"/><Relationship Id="rId15" Type="http://schemas.openxmlformats.org/officeDocument/2006/relationships/hyperlink" Target="https://www.earthdata.nasa.gov/data/catalog/ornl-cloud-decadal-lulc-india-1336-1" TargetMode="External"/><Relationship Id="rId16" Type="http://schemas.openxmlformats.org/officeDocument/2006/relationships/hyperlink" Target="https://www.nature.com/articles/s41597-022-01307-4" TargetMode="External"/><Relationship Id="rId17" Type="http://schemas.openxmlformats.org/officeDocument/2006/relationships/hyperlink" Target="https://www.earthdata.nasa.gov/news/feature-articles/measuring-worlds-croplands" TargetMode="External"/><Relationship Id="rId18" Type="http://schemas.openxmlformats.org/officeDocument/2006/relationships/hyperlink" Target="https://developers.google.com/earth-engine/datasets/catalog/USDA_NASS_CDL" TargetMode="External"/><Relationship Id="rId19" Type="http://schemas.openxmlformats.org/officeDocument/2006/relationships/hyperlink" Target="https://agri4cast.jrc.ec.europa.eu/dataportal" TargetMode="External"/><Relationship Id="rId20" Type="http://schemas.openxmlformats.org/officeDocument/2006/relationships/hyperlink" Target="https://zenodo.org/records/7875105" TargetMode="External"/><Relationship Id="rId21" Type="http://schemas.openxmlformats.org/officeDocument/2006/relationships/hyperlink" Target="https://figshare.com/articles/dataset/CROPGRIDS/22491997" TargetMode="External"/><Relationship Id="rId22" Type="http://schemas.openxmlformats.org/officeDocument/2006/relationships/hyperlink" Target="http://www.earthstat.org/harvested-area-yield-175-crops/" TargetMode="External"/><Relationship Id="rId23" Type="http://schemas.openxmlformats.org/officeDocument/2006/relationships/hyperlink" Target="https://www.nature.com/articles/s41597-023-02517-0" TargetMode="External"/><Relationship Id="rId24" Type="http://schemas.openxmlformats.org/officeDocument/2006/relationships/hyperlink" Target="https://gaez.fao.org/pages/agromaps" TargetMode="External"/><Relationship Id="rId25" Type="http://schemas.openxmlformats.org/officeDocument/2006/relationships/hyperlink" Target="https://zenodo.org/records/13984185" TargetMode="External"/><Relationship Id="rId26" Type="http://schemas.openxmlformats.org/officeDocument/2006/relationships/hyperlink" Target="https://dataverse.harvard.edu/dataset.xhtml?persistentId=doi:10.7910/DVN/ZWSFAA" TargetMode="External"/><Relationship Id="rId27" Type="http://schemas.openxmlformats.org/officeDocument/2006/relationships/hyperlink" Target="https://deafrica.africageoportal.com/datasets/bc6a9440f3cb41d6904b2c8831745903/about" TargetMode="External"/><Relationship Id="rId28" Type="http://schemas.openxmlformats.org/officeDocument/2006/relationships/hyperlink" Target="https://land.copernicus.eu/en/products/high-resolution-layer-croplands/fallow-land-presence-2023-raster-10-m-europe-yearly" TargetMode="External"/><Relationship Id="rId29" Type="http://schemas.openxmlformats.org/officeDocument/2006/relationships/hyperlink" Target="https://landcarbonlab.org/data/global-cropland-change/" TargetMode="External"/><Relationship Id="rId30" Type="http://schemas.openxmlformats.org/officeDocument/2006/relationships/hyperlink" Target="https://sage.nelson.wisc.edu/data-and-models/datasets/historic-croplands-dataset-1700-1992/" TargetMode="External"/><Relationship Id="rId31" Type="http://schemas.openxmlformats.org/officeDocument/2006/relationships/hyperlink" Target="https://journals.plos.org/plosone/article?id=10.1371/journal.pone.0184479" TargetMode="External"/><Relationship Id="rId32" Type="http://schemas.openxmlformats.org/officeDocument/2006/relationships/hyperlink" Target="https://zenodo.org/records/17828801" TargetMode="External"/><Relationship Id="rId33" Type="http://schemas.openxmlformats.org/officeDocument/2006/relationships/hyperlink" Target="https://figshare.com/articles/dataset/NPKGRIDS/24616050/4" TargetMode="External"/><Relationship Id="rId34" Type="http://schemas.openxmlformats.org/officeDocument/2006/relationships/hyperlink" Target="https://datadryad.org/dataset/doi:10.5061/dryad.2rbnzs7qh" TargetMode="External"/><Relationship Id="rId35" Type="http://schemas.openxmlformats.org/officeDocument/2006/relationships/hyperlink" Target="https://data.tpdc.ac.cn/en/data/1e31ad1f-5904-4b49-8796-b379c37e7dba" TargetMode="External"/><Relationship Id="rId36" Type="http://schemas.openxmlformats.org/officeDocument/2006/relationships/hyperlink" Target="https://zenodo.org/records/5260732" TargetMode="External"/><Relationship Id="rId37" Type="http://schemas.openxmlformats.org/officeDocument/2006/relationships/hyperlink" Target="https://www.nature.com/articles/nature15743" TargetMode="External"/><Relationship Id="rId38" Type="http://schemas.openxmlformats.org/officeDocument/2006/relationships/hyperlink" Target="https://www.fao.org/faostat/en/" TargetMode="External"/><Relationship Id="rId39" Type="http://schemas.openxmlformats.org/officeDocument/2006/relationships/hyperlink" Target="https://www.fao.org/faostat/en/" TargetMode="External"/><Relationship Id="rId40" Type="http://schemas.openxmlformats.org/officeDocument/2006/relationships/hyperlink" Target="https://dataverse.harvard.edu/dataset.xhtml?persistentId=doi:10.7910/DVN/P8MWOW" TargetMode="External"/><Relationship Id="rId41" Type="http://schemas.openxmlformats.org/officeDocument/2006/relationships/hyperlink" Target="https://springernature.figshare.com/collections/Crop_production_and_nitrogen_use_in_European_cropland_and_grassland_1961-2019/5320772" TargetMode="External"/><Relationship Id="rId42" Type="http://schemas.openxmlformats.org/officeDocument/2006/relationships/hyperlink" Target="https://sdi.eea.europa.eu/catalogue/srv/eng/catalog.search" TargetMode="External"/><Relationship Id="rId43" Type="http://schemas.openxmlformats.org/officeDocument/2006/relationships/hyperlink" Target="https://ctic.org/optis/grasslands/vegetation-types/" TargetMode="External"/><Relationship Id="rId44" Type="http://schemas.openxmlformats.org/officeDocument/2006/relationships/hyperlink" Target="https://land.copernicus.eu/en/products/high-resolution-layer-grasslands?tab=overview" TargetMode="External"/><Relationship Id="rId45" Type="http://schemas.openxmlformats.org/officeDocument/2006/relationships/hyperlink" Target="https://data.fs.usda.gov/geodata/rastergateway/rangelands/index.php" TargetMode="External"/><Relationship Id="rId46" Type="http://schemas.openxmlformats.org/officeDocument/2006/relationships/hyperlink" Target="https://zenodo.org/records/15646181" TargetMode="External"/><Relationship Id="rId47" Type="http://schemas.openxmlformats.org/officeDocument/2006/relationships/hyperlink" Target="https://agri4cast.jrc.ec.europa.eu/dataportal" TargetMode="External"/><Relationship Id="rId48" Type="http://schemas.openxmlformats.org/officeDocument/2006/relationships/hyperlink" Target="https://gee-community-catalog.org/projects/gci30/" TargetMode="External"/><Relationship Id="rId49" Type="http://schemas.openxmlformats.org/officeDocument/2006/relationships/hyperlink" Target="https://pure.iiasa.ac.at/id/eprint/15526/" TargetMode="External"/><Relationship Id="rId50" Type="http://schemas.openxmlformats.org/officeDocument/2006/relationships/hyperlink" Target="https://www.nature.com/articles/s41597-024-03456-0?fromPaywallRec=false" TargetMode="External"/><Relationship Id="rId51" Type="http://schemas.openxmlformats.org/officeDocument/2006/relationships/hyperlink" Target="https://www.nature.com/articles/s41597-021-01065-9" TargetMode="External"/><Relationship Id="rId52" Type="http://schemas.openxmlformats.org/officeDocument/2006/relationships/hyperlink" Target="https://lcluc.umd.edu/metadata/conterminous-united-states-conus-field-extraction" TargetMode="External"/><Relationship Id="rId53" Type="http://schemas.openxmlformats.org/officeDocument/2006/relationships/hyperlink" Target="https://www.dropbox.com/scl/fi/9hr10mzm3tvs4ql4rqd1f/ReleaseData.7z?dl=0%0A7-zip+compressed+file+size+249MB+(uncompressed+42GB)%0A&amp;e=1&amp;rlkey=69c2ivhqmzi8k1mdd1bl62xz9" TargetMode="External"/><Relationship Id="rId54" Type="http://schemas.openxmlformats.org/officeDocument/2006/relationships/hyperlink" Target="https://www.microsoft.com/en-us/research/wp-content/uploads/2026/04/FTW_Global_Map_v1.1.pdf" TargetMode="External"/><Relationship Id="rId55" Type="http://schemas.openxmlformats.org/officeDocument/2006/relationships/hyperlink" Target="https://datadryad.org/share/0OQ59-ZZKmzDgcWs-qySOeckvainNTyILzyeuZIZH6w" TargetMode="External"/><Relationship Id="rId56" Type="http://schemas.openxmlformats.org/officeDocument/2006/relationships/hyperlink" Target="https://onlinelibrary.wiley.com/doi/10.1111/gcb.12838" TargetMode="External"/><Relationship Id="rId57" Type="http://schemas.openxmlformats.org/officeDocument/2006/relationships/hyperlink" Target="https://ec.europa.eu/eurostat/databrowser/view/aei_ps_inp/default/table?lang=en&amp;category=agr.aei.aei_char" TargetMode="External"/><Relationship Id="rId58" Type="http://schemas.openxmlformats.org/officeDocument/2006/relationships/hyperlink" Target="https://data-explorer.oecd.org/vis?lc=en&amp;df%5Bds%5D=dsDisseminateFinalDMZ&amp;df%5Bid%5D=DSD_AGRI_ENV%40DF_AEI&amp;df%5Bag%5D=OECD.TAD.ARP&amp;dq=.A.TOTAGR_LAND....&amp;pd=2012%2C&amp;to%5BTIME_PERIOD%5D=false" TargetMode="External"/><Relationship Id="rId59" Type="http://schemas.openxmlformats.org/officeDocument/2006/relationships/hyperlink" Target="https://ourworldindata.org/grapher/machinery-per-agricultural-land" TargetMode="External"/><Relationship Id="rId60" Type="http://schemas.openxmlformats.org/officeDocument/2006/relationships/hyperlink" Target="https://ourworldindata.org/grapher/average-farm-size?country=&amp;globe=1&amp;globeRotation=9.47%2C-301.66" TargetMode="External"/><Relationship Id="rId61" Type="http://schemas.openxmlformats.org/officeDocument/2006/relationships/hyperlink" Target="https://www.mapspam.info/data/" TargetMode="External"/><Relationship Id="rId62" Type="http://schemas.openxmlformats.org/officeDocument/2006/relationships/hyperlink" Target="https://www.uni-frankfurt.de/45218023/MIRCA" TargetMode="External"/><Relationship Id="rId63" Type="http://schemas.openxmlformats.org/officeDocument/2006/relationships/hyperlink" Target="https://ec.europa.eu/eurostat/web/experimental-statistics/geospatial-data-agricultural-census" TargetMode="External"/><Relationship Id="rId64" Type="http://schemas.openxmlformats.org/officeDocument/2006/relationships/hyperlink" Target="https://www.fao.org/aquastat/en/geospatial-information/global-maps-irrigated-areas/latest-version/" TargetMode="External"/><Relationship Id="rId65" Type="http://schemas.openxmlformats.org/officeDocument/2006/relationships/hyperlink" Target="https://land.copernicus.eu/en/products/high-resolution-layer-grasslands/ploughing-indicator-2023-raster-10-m-europe-yearly" TargetMode="External"/><Relationship Id="rId66" Type="http://schemas.openxmlformats.org/officeDocument/2006/relationships/hyperlink" Target="https://sdi.eea.europa.eu/catalogue/srv/eng/catalog.search" TargetMode="External"/><Relationship Id="rId67" Type="http://schemas.openxmlformats.org/officeDocument/2006/relationships/hyperlink" Target="https://www.usgs.gov/special-topics/monitoring-vegetation-drought-stress/science/moderate-resolution-imaging" TargetMode="External"/><Relationship Id="rId68" Type="http://schemas.openxmlformats.org/officeDocument/2006/relationships/hyperlink" Target="https://www.fao.org/faostat/en/" TargetMode="External"/><Relationship Id="rId69" Type="http://schemas.openxmlformats.org/officeDocument/2006/relationships/hyperlink" Target="https://ec.europa.eu/eurostat/statistics-explained/index.php?title=Glossary:Grazing_livestock_density_index" TargetMode="External"/><Relationship Id="rId70" Type="http://schemas.openxmlformats.org/officeDocument/2006/relationships/hyperlink" Target="https://www.nature.com/articles/sdata2018227" TargetMode="External"/><Relationship Id="rId71" Type="http://schemas.openxmlformats.org/officeDocument/2006/relationships/hyperlink" Target="https://doi.org/10.5281/zenodo.11058509" TargetMode="External"/><Relationship Id="rId72" Type="http://schemas.openxmlformats.org/officeDocument/2006/relationships/hyperlink" Target="https://zenodo.org/records/17128483" TargetMode="External"/><Relationship Id="rId73" Type="http://schemas.openxmlformats.org/officeDocument/2006/relationships/hyperlink" Target="https://figshare.com/articles/dataset/Pesticides_application_rate_maps_in_the_European_Union_at_high_spatial_resolution/27743286" TargetMode="External"/><Relationship Id="rId74" Type="http://schemas.openxmlformats.org/officeDocument/2006/relationships/hyperlink" Target="https://www.fao.org/faostat/en/" TargetMode="External"/><Relationship Id="rId75" Type="http://schemas.openxmlformats.org/officeDocument/2006/relationships/hyperlink" Target="https://water.usgs.gov/nawqa/pnsp/usage/maps/" TargetMode="External"/><Relationship Id="rId76" Type="http://schemas.openxmlformats.org/officeDocument/2006/relationships/hyperlink" Target="https://ec.europa.eu/eurostat/databrowser/explore/all/agric?sort=category&amp;lang=en&amp;subtheme=agr.aei.aei_pes&amp;display=list" TargetMode="External"/><Relationship Id="rId77" Type="http://schemas.openxmlformats.org/officeDocument/2006/relationships/hyperlink" Target="https://figshare.com/articles/dataset/PESTCHEMGRIDS_v2_01_beta_version_/25854769" TargetMode="External"/><Relationship Id="rId78" Type="http://schemas.openxmlformats.org/officeDocument/2006/relationships/hyperlink" Target="https://glad.umd.edu/dataset/long-term-global-land-change" TargetMode="External"/><Relationship Id="rId79" Type="http://schemas.openxmlformats.org/officeDocument/2006/relationships/hyperlink" Target="https://zenodo.org/records/15366671" TargetMode="External"/><Relationship Id="rId80" Type="http://schemas.openxmlformats.org/officeDocument/2006/relationships/hyperlink" Target="https://www.science.org/doi/10.1126/science.1244693" TargetMode="External"/><Relationship Id="rId81" Type="http://schemas.openxmlformats.org/officeDocument/2006/relationships/hyperlink" Target="https://www.science.org/doi/10.1126/sciadv.1600821" TargetMode="External"/><Relationship Id="rId82" Type="http://schemas.openxmlformats.org/officeDocument/2006/relationships/hyperlink" Target="https://www.earthdata.nasa.gov/data/catalog/sedac-ciesin-sedac-lwp2-hii-geog-2.0" TargetMode="External"/><Relationship Id="rId83" Type="http://schemas.openxmlformats.org/officeDocument/2006/relationships/hyperlink" Target="https://www.nature.com/articles/s41597-025-05246-8" TargetMode="External"/><Relationship Id="rId84" Type="http://schemas.openxmlformats.org/officeDocument/2006/relationships/hyperlink" Target="https://www.nature.com/articles/s41893-020-00631-0" TargetMode="External"/><Relationship Id="rId85" Type="http://schemas.openxmlformats.org/officeDocument/2006/relationships/hyperlink" Target="https://www.nature.com/articles/s41597-024-04139-6" TargetMode="External"/><Relationship Id="rId86" Type="http://schemas.openxmlformats.org/officeDocument/2006/relationships/hyperlink" Target="https://www.sciencedirect.com/science/article/pii/S0034425717301244" TargetMode="External"/><Relationship Id="rId87" Type="http://schemas.openxmlformats.org/officeDocument/2006/relationships/hyperlink" Target="https://deepmind.google/blog/alphaearth-foundations-helps-map-our-planet-in-unprecedented-detail/" TargetMode="External"/><Relationship Id="rId88" Type="http://schemas.openxmlformats.org/officeDocument/2006/relationships/hyperlink" Target="https://land.copernicus.eu/en/products/corine-land-cover" TargetMode="External"/><Relationship Id="rId89" Type="http://schemas.openxmlformats.org/officeDocument/2006/relationships/hyperlink" Target="https://human-settlement.emergency.copernicus.eu/ghs_pop2023.php" TargetMode="External"/><Relationship Id="rId90" Type="http://schemas.openxmlformats.org/officeDocument/2006/relationships/hyperlink" Target="https://dataverse.harvard.edu/dataset.xhtml?persistentId=doi:10.7910/DVN/USMCOR" TargetMode="External"/><Relationship Id="rId91" Type="http://schemas.openxmlformats.org/officeDocument/2006/relationships/hyperlink" Target="https://www.nature.com/articles/s41597-025-04817-z" TargetMode="External"/><Relationship Id="rId92" Type="http://schemas.openxmlformats.org/officeDocument/2006/relationships/hyperlink" Target="http://www.geodata.cn/data/datadetails.html?dataguid=1471197&amp;docId=12230" TargetMode="External"/><Relationship Id="rId93" Type="http://schemas.openxmlformats.org/officeDocument/2006/relationships/hyperlink" Target="https://human-settlement.emergency.copernicus.eu/ghs_smod2023.php" TargetMode="External"/><Relationship Id="rId94" Type="http://schemas.openxmlformats.org/officeDocument/2006/relationships/hyperlink" Target="https://gee-community-catalog.org/projects/giulu/" TargetMode="External"/><Relationship Id="rId95" Type="http://schemas.openxmlformats.org/officeDocument/2006/relationships/hyperlink" Target="https://human-settlement.emergency.copernicus.eu/esm_R2019.php" TargetMode="External"/><Relationship Id="rId96" Type="http://schemas.openxmlformats.org/officeDocument/2006/relationships/hyperlink" Target="http://data.europa.eu/89h/8bd2b792-cc33-4c11-afd1-b8dd60b44f3b" TargetMode="External"/><Relationship Id="rId97" Type="http://schemas.openxmlformats.org/officeDocument/2006/relationships/hyperlink" Target="https://www.earthdata.nasa.gov/data/catalog/ornl-cloud-potential-veg-xdeg-961-1" TargetMode="External"/><Relationship Id="rId98" Type="http://schemas.openxmlformats.org/officeDocument/2006/relationships/hyperlink" Target="https://www.earthdata.nasa.gov/data/catalog/sedac-ciesin-sedac-hanpp-1.0" TargetMode="External"/><Relationship Id="rId99" Type="http://schemas.openxmlformats.org/officeDocument/2006/relationships/hyperlink" Target="https://www.earthdata.nasa.gov/data/catalog/lpcloud-mod17a3hgf-061" TargetMode="External"/><Relationship Id="rId100" Type="http://schemas.openxmlformats.org/officeDocument/2006/relationships/hyperlink" Target="https://www.pnas.org/doi/10.1073/pnas.012249999" TargetMode="External"/><Relationship Id="rId101" Type="http://schemas.openxmlformats.org/officeDocument/2006/relationships/hyperlink" Target="https://www.fao.org/soils-portal/data-hub/soil-maps-and-databases/global-soil-organic-carbon-map-gsocmap/en/" TargetMode="External"/><Relationship Id="rId102" Type="http://schemas.openxmlformats.org/officeDocument/2006/relationships/hyperlink" Target="https://www.fao.org/soils-portal/data-hub/soil-maps-and-databases/global-map-of-salt-affected-soils/en/" TargetMode="External"/><Relationship Id="rId103" Type="http://schemas.openxmlformats.org/officeDocument/2006/relationships/hyperlink" Target="https://isric.org/explore/soilgrids" TargetMode="External"/><Relationship Id="rId104" Type="http://schemas.openxmlformats.org/officeDocument/2006/relationships/hyperlink" Target="https://www.fao.org/soils-portal/data-hub/soil-maps-and-databases/harmonized-world-soil-database-v20/en/" TargetMode="External"/><Relationship Id="rId105" Type="http://schemas.openxmlformats.org/officeDocument/2006/relationships/hyperlink" Target="https://esdac.jrc.ec.europa.eu/content/lucas-2009-topsoil-data" TargetMode="External"/><Relationship Id="rId106" Type="http://schemas.openxmlformats.org/officeDocument/2006/relationships/hyperlink" Target="https://www.nasaharvest.org/" TargetMode="External"/><Relationship Id="rId107"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Y13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2.6328125" defaultRowHeight="15.75" customHeight="true" zeroHeight="false" outlineLevelRow="0" outlineLevelCol="0"/>
  <cols>
    <col collapsed="false" customWidth="true" hidden="false" outlineLevel="0" max="1" min="1" style="0" width="8.38"/>
    <col collapsed="false" customWidth="true" hidden="false" outlineLevel="0" max="6" min="6" style="0" width="44.25"/>
    <col collapsed="false" customWidth="true" hidden="false" outlineLevel="0" max="7" min="7" style="0" width="21.5"/>
    <col collapsed="false" customWidth="true" hidden="false" outlineLevel="0" max="8" min="8" style="0" width="11.25"/>
    <col collapsed="false" customWidth="true" hidden="false" outlineLevel="0" max="10" min="9" style="0" width="16.75"/>
    <col collapsed="false" customWidth="true" hidden="false" outlineLevel="0" max="11" min="11" style="0" width="13.25"/>
    <col collapsed="false" customWidth="true" hidden="false" outlineLevel="0" max="12" min="12" style="0" width="10.25"/>
    <col collapsed="false" customWidth="true" hidden="false" outlineLevel="0" max="13" min="13" style="0" width="8.25"/>
    <col collapsed="false" customWidth="true" hidden="false" outlineLevel="0" max="15" min="15" style="0" width="28.88"/>
    <col collapsed="false" customWidth="true" hidden="false" outlineLevel="0" max="16" min="16" style="0" width="33"/>
    <col collapsed="false" customWidth="true" hidden="false" outlineLevel="0" max="19" min="19" style="0" width="17.75"/>
  </cols>
  <sheetData>
    <row r="1" customFormat="false" ht="15.75" hidden="false" customHeight="false" outlineLevel="0" collapsed="false">
      <c r="A1" s="1" t="s">
        <v>0</v>
      </c>
      <c r="B1" s="1" t="s">
        <v>1</v>
      </c>
      <c r="C1" s="2" t="s">
        <v>2</v>
      </c>
      <c r="D1" s="2" t="s">
        <v>3</v>
      </c>
      <c r="E1" s="2" t="s">
        <v>4</v>
      </c>
      <c r="F1" s="1" t="s">
        <v>5</v>
      </c>
      <c r="G1" s="3" t="s">
        <v>6</v>
      </c>
      <c r="H1" s="2" t="s">
        <v>7</v>
      </c>
      <c r="I1" s="2" t="s">
        <v>8</v>
      </c>
      <c r="J1" s="2" t="s">
        <v>9</v>
      </c>
      <c r="K1" s="1" t="s">
        <v>10</v>
      </c>
      <c r="L1" s="1" t="s">
        <v>11</v>
      </c>
      <c r="M1" s="1" t="s">
        <v>12</v>
      </c>
      <c r="N1" s="1" t="s">
        <v>13</v>
      </c>
      <c r="O1" s="2" t="s">
        <v>14</v>
      </c>
      <c r="P1" s="1" t="s">
        <v>15</v>
      </c>
      <c r="Q1" s="1" t="s">
        <v>16</v>
      </c>
      <c r="R1" s="1" t="s">
        <v>17</v>
      </c>
      <c r="S1" s="1" t="s">
        <v>18</v>
      </c>
      <c r="T1" s="2" t="s">
        <v>19</v>
      </c>
      <c r="U1" s="2" t="s">
        <v>20</v>
      </c>
      <c r="V1" s="1" t="s">
        <v>21</v>
      </c>
      <c r="W1" s="1" t="s">
        <v>22</v>
      </c>
      <c r="X1" s="1" t="s">
        <v>23</v>
      </c>
      <c r="Y1" s="1" t="s">
        <v>24</v>
      </c>
    </row>
    <row r="2" customFormat="false" ht="15.75" hidden="false" customHeight="false" outlineLevel="0" collapsed="false">
      <c r="A2" s="2" t="n">
        <v>1</v>
      </c>
      <c r="B2" s="1" t="s">
        <v>25</v>
      </c>
      <c r="C2" s="2" t="s">
        <v>26</v>
      </c>
      <c r="D2" s="2" t="s">
        <v>27</v>
      </c>
      <c r="E2" s="2" t="s">
        <v>28</v>
      </c>
      <c r="F2" s="2" t="s">
        <v>29</v>
      </c>
      <c r="G2" s="4" t="s">
        <v>30</v>
      </c>
      <c r="I2" s="2" t="s">
        <v>31</v>
      </c>
      <c r="J2" s="2"/>
      <c r="K2" s="1" t="s">
        <v>32</v>
      </c>
      <c r="L2" s="1" t="s">
        <v>33</v>
      </c>
      <c r="M2" s="1" t="s">
        <v>34</v>
      </c>
      <c r="N2" s="5" t="s">
        <v>35</v>
      </c>
      <c r="O2" s="2" t="s">
        <v>36</v>
      </c>
      <c r="P2" s="2" t="s">
        <v>37</v>
      </c>
      <c r="Q2" s="1" t="s">
        <v>38</v>
      </c>
      <c r="R2" s="2" t="s">
        <v>39</v>
      </c>
      <c r="S2" s="6" t="s">
        <v>40</v>
      </c>
      <c r="T2" s="2" t="s">
        <v>41</v>
      </c>
      <c r="U2" s="2" t="s">
        <v>42</v>
      </c>
      <c r="V2" s="1" t="s">
        <v>43</v>
      </c>
      <c r="W2" s="1" t="n">
        <v>2009</v>
      </c>
      <c r="X2" s="1" t="n">
        <v>2025</v>
      </c>
    </row>
    <row r="3" customFormat="false" ht="15.75" hidden="false" customHeight="false" outlineLevel="0" collapsed="false">
      <c r="A3" s="2" t="n">
        <v>2</v>
      </c>
      <c r="B3" s="1" t="s">
        <v>25</v>
      </c>
      <c r="C3" s="2" t="s">
        <v>26</v>
      </c>
      <c r="D3" s="2" t="s">
        <v>27</v>
      </c>
      <c r="E3" s="2" t="s">
        <v>28</v>
      </c>
      <c r="F3" s="1" t="s">
        <v>44</v>
      </c>
      <c r="G3" s="3" t="s">
        <v>44</v>
      </c>
      <c r="H3" s="2"/>
      <c r="I3" s="2" t="s">
        <v>45</v>
      </c>
      <c r="J3" s="2" t="s">
        <v>46</v>
      </c>
      <c r="K3" s="1" t="s">
        <v>32</v>
      </c>
      <c r="L3" s="1" t="s">
        <v>47</v>
      </c>
      <c r="M3" s="1" t="s">
        <v>48</v>
      </c>
      <c r="N3" s="7" t="s">
        <v>49</v>
      </c>
      <c r="O3" s="2" t="s">
        <v>50</v>
      </c>
      <c r="P3" s="2" t="s">
        <v>51</v>
      </c>
      <c r="Q3" s="1" t="s">
        <v>38</v>
      </c>
      <c r="R3" s="2" t="s">
        <v>52</v>
      </c>
      <c r="S3" s="6" t="s">
        <v>53</v>
      </c>
      <c r="T3" s="1" t="s">
        <v>54</v>
      </c>
      <c r="U3" s="2" t="s">
        <v>55</v>
      </c>
      <c r="V3" s="2" t="s">
        <v>56</v>
      </c>
      <c r="W3" s="1" t="n">
        <v>2018</v>
      </c>
      <c r="X3" s="1" t="n">
        <v>2022</v>
      </c>
    </row>
    <row r="4" customFormat="false" ht="17.25" hidden="false" customHeight="true" outlineLevel="0" collapsed="false">
      <c r="A4" s="2" t="n">
        <v>3</v>
      </c>
      <c r="B4" s="2" t="s">
        <v>25</v>
      </c>
      <c r="C4" s="2" t="s">
        <v>57</v>
      </c>
      <c r="D4" s="2" t="s">
        <v>58</v>
      </c>
      <c r="E4" s="2" t="s">
        <v>28</v>
      </c>
      <c r="F4" s="2" t="s">
        <v>59</v>
      </c>
      <c r="G4" s="4" t="s">
        <v>60</v>
      </c>
      <c r="H4" s="2" t="s">
        <v>61</v>
      </c>
      <c r="I4" s="2"/>
      <c r="J4" s="2" t="s">
        <v>62</v>
      </c>
      <c r="K4" s="2" t="s">
        <v>32</v>
      </c>
      <c r="L4" s="2" t="s">
        <v>63</v>
      </c>
      <c r="M4" s="2" t="s">
        <v>63</v>
      </c>
      <c r="N4" s="7" t="s">
        <v>64</v>
      </c>
      <c r="O4" s="2" t="s">
        <v>65</v>
      </c>
      <c r="P4" s="2" t="s">
        <v>66</v>
      </c>
      <c r="Q4" s="2" t="s">
        <v>38</v>
      </c>
      <c r="R4" s="2" t="s">
        <v>67</v>
      </c>
      <c r="S4" s="8" t="s">
        <v>68</v>
      </c>
      <c r="T4" s="2" t="s">
        <v>69</v>
      </c>
      <c r="U4" s="2" t="s">
        <v>69</v>
      </c>
      <c r="V4" s="2" t="s">
        <v>43</v>
      </c>
      <c r="W4" s="2" t="n">
        <v>1990</v>
      </c>
      <c r="X4" s="2" t="n">
        <v>2000</v>
      </c>
      <c r="Y4" s="2" t="s">
        <v>70</v>
      </c>
    </row>
    <row r="5" customFormat="false" ht="15.75" hidden="false" customHeight="false" outlineLevel="0" collapsed="false">
      <c r="A5" s="2" t="n">
        <v>4</v>
      </c>
      <c r="B5" s="2" t="s">
        <v>25</v>
      </c>
      <c r="C5" s="2" t="s">
        <v>57</v>
      </c>
      <c r="D5" s="2" t="s">
        <v>58</v>
      </c>
      <c r="E5" s="2" t="s">
        <v>28</v>
      </c>
      <c r="F5" s="2" t="s">
        <v>71</v>
      </c>
      <c r="G5" s="4" t="s">
        <v>72</v>
      </c>
      <c r="H5" s="2"/>
      <c r="I5" s="2" t="s">
        <v>73</v>
      </c>
      <c r="J5" s="2" t="s">
        <v>74</v>
      </c>
      <c r="K5" s="2" t="s">
        <v>32</v>
      </c>
      <c r="L5" s="2" t="s">
        <v>75</v>
      </c>
      <c r="M5" s="1" t="s">
        <v>48</v>
      </c>
      <c r="N5" s="7" t="s">
        <v>76</v>
      </c>
      <c r="O5" s="2" t="s">
        <v>77</v>
      </c>
      <c r="P5" s="2" t="s">
        <v>78</v>
      </c>
      <c r="Q5" s="2" t="s">
        <v>38</v>
      </c>
      <c r="R5" s="2" t="s">
        <v>67</v>
      </c>
      <c r="S5" s="8" t="s">
        <v>68</v>
      </c>
      <c r="T5" s="2" t="s">
        <v>69</v>
      </c>
      <c r="U5" s="2" t="s">
        <v>69</v>
      </c>
      <c r="V5" s="2" t="s">
        <v>79</v>
      </c>
      <c r="W5" s="2" t="n">
        <v>2015</v>
      </c>
      <c r="X5" s="2" t="n">
        <v>2015</v>
      </c>
    </row>
    <row r="6" customFormat="false" ht="15.75" hidden="false" customHeight="false" outlineLevel="0" collapsed="false">
      <c r="A6" s="2" t="n">
        <v>5</v>
      </c>
      <c r="B6" s="2" t="s">
        <v>25</v>
      </c>
      <c r="C6" s="2" t="s">
        <v>57</v>
      </c>
      <c r="D6" s="2" t="s">
        <v>58</v>
      </c>
      <c r="E6" s="2" t="s">
        <v>28</v>
      </c>
      <c r="F6" s="2" t="s">
        <v>80</v>
      </c>
      <c r="G6" s="4" t="s">
        <v>81</v>
      </c>
      <c r="J6" s="2" t="s">
        <v>82</v>
      </c>
      <c r="K6" s="2" t="s">
        <v>32</v>
      </c>
      <c r="L6" s="2" t="s">
        <v>83</v>
      </c>
      <c r="N6" s="7" t="s">
        <v>84</v>
      </c>
      <c r="O6" s="2" t="s">
        <v>85</v>
      </c>
      <c r="P6" s="2" t="s">
        <v>86</v>
      </c>
      <c r="R6" s="2" t="s">
        <v>87</v>
      </c>
      <c r="S6" s="8" t="s">
        <v>88</v>
      </c>
      <c r="T6" s="2" t="s">
        <v>89</v>
      </c>
      <c r="U6" s="2" t="s">
        <v>89</v>
      </c>
      <c r="V6" s="2" t="s">
        <v>79</v>
      </c>
      <c r="W6" s="2" t="n">
        <v>2023</v>
      </c>
      <c r="X6" s="2" t="n">
        <v>2023</v>
      </c>
    </row>
    <row r="7" customFormat="false" ht="15.75" hidden="false" customHeight="false" outlineLevel="0" collapsed="false">
      <c r="A7" s="2" t="n">
        <v>6</v>
      </c>
      <c r="B7" s="2" t="s">
        <v>25</v>
      </c>
      <c r="C7" s="2" t="s">
        <v>90</v>
      </c>
      <c r="D7" s="2" t="s">
        <v>91</v>
      </c>
      <c r="E7" s="2" t="s">
        <v>28</v>
      </c>
      <c r="F7" s="2" t="s">
        <v>92</v>
      </c>
      <c r="G7" s="4" t="s">
        <v>93</v>
      </c>
      <c r="I7" s="2" t="s">
        <v>94</v>
      </c>
      <c r="K7" s="2" t="s">
        <v>32</v>
      </c>
      <c r="M7" s="1" t="s">
        <v>48</v>
      </c>
      <c r="N7" s="7" t="s">
        <v>95</v>
      </c>
      <c r="O7" s="2" t="s">
        <v>96</v>
      </c>
      <c r="P7" s="2" t="s">
        <v>97</v>
      </c>
      <c r="R7" s="2" t="s">
        <v>98</v>
      </c>
      <c r="S7" s="2" t="s">
        <v>40</v>
      </c>
      <c r="T7" s="2" t="s">
        <v>99</v>
      </c>
      <c r="U7" s="2" t="s">
        <v>100</v>
      </c>
      <c r="V7" s="2" t="s">
        <v>43</v>
      </c>
      <c r="W7" s="2" t="n">
        <v>2005</v>
      </c>
      <c r="X7" s="2" t="n">
        <v>2022</v>
      </c>
    </row>
    <row r="8" customFormat="false" ht="15" hidden="false" customHeight="true" outlineLevel="0" collapsed="false">
      <c r="A8" s="2" t="n">
        <v>7</v>
      </c>
      <c r="B8" s="1" t="s">
        <v>25</v>
      </c>
      <c r="C8" s="2" t="s">
        <v>101</v>
      </c>
      <c r="D8" s="1" t="s">
        <v>91</v>
      </c>
      <c r="E8" s="2" t="s">
        <v>28</v>
      </c>
      <c r="F8" s="1" t="s">
        <v>102</v>
      </c>
      <c r="G8" s="3" t="s">
        <v>102</v>
      </c>
      <c r="H8" s="2" t="s">
        <v>103</v>
      </c>
      <c r="I8" s="2"/>
      <c r="J8" s="2" t="s">
        <v>104</v>
      </c>
      <c r="K8" s="1" t="s">
        <v>32</v>
      </c>
      <c r="L8" s="1" t="s">
        <v>47</v>
      </c>
      <c r="M8" s="1" t="s">
        <v>48</v>
      </c>
      <c r="N8" s="5" t="s">
        <v>105</v>
      </c>
      <c r="O8" s="2" t="s">
        <v>106</v>
      </c>
      <c r="P8" s="2" t="s">
        <v>107</v>
      </c>
      <c r="Q8" s="1" t="s">
        <v>38</v>
      </c>
      <c r="R8" s="2" t="s">
        <v>108</v>
      </c>
      <c r="S8" s="6" t="s">
        <v>109</v>
      </c>
      <c r="T8" s="1" t="s">
        <v>69</v>
      </c>
      <c r="U8" s="1" t="s">
        <v>69</v>
      </c>
      <c r="V8" s="1" t="s">
        <v>43</v>
      </c>
      <c r="W8" s="1" t="n">
        <v>1960</v>
      </c>
      <c r="X8" s="2" t="n">
        <v>2019</v>
      </c>
    </row>
    <row r="9" customFormat="false" ht="15.75" hidden="false" customHeight="false" outlineLevel="0" collapsed="false">
      <c r="A9" s="2" t="n">
        <v>8</v>
      </c>
      <c r="B9" s="1" t="s">
        <v>25</v>
      </c>
      <c r="C9" s="2" t="s">
        <v>101</v>
      </c>
      <c r="D9" s="1" t="s">
        <v>91</v>
      </c>
      <c r="E9" s="2" t="s">
        <v>28</v>
      </c>
      <c r="F9" s="2" t="s">
        <v>110</v>
      </c>
      <c r="G9" s="4" t="s">
        <v>111</v>
      </c>
      <c r="H9" s="2" t="s">
        <v>112</v>
      </c>
      <c r="I9" s="2" t="s">
        <v>113</v>
      </c>
      <c r="K9" s="2" t="s">
        <v>32</v>
      </c>
      <c r="L9" s="2" t="s">
        <v>114</v>
      </c>
      <c r="M9" s="1" t="s">
        <v>48</v>
      </c>
      <c r="N9" s="7" t="s">
        <v>115</v>
      </c>
      <c r="O9" s="2" t="s">
        <v>116</v>
      </c>
      <c r="P9" s="9" t="s">
        <v>117</v>
      </c>
      <c r="R9" s="2" t="s">
        <v>98</v>
      </c>
      <c r="S9" s="2" t="s">
        <v>40</v>
      </c>
      <c r="T9" s="2" t="s">
        <v>99</v>
      </c>
      <c r="U9" s="2" t="s">
        <v>118</v>
      </c>
      <c r="V9" s="2" t="s">
        <v>43</v>
      </c>
      <c r="W9" s="2" t="n">
        <v>1985</v>
      </c>
      <c r="X9" s="2" t="n">
        <v>2025</v>
      </c>
    </row>
    <row r="10" customFormat="false" ht="15.75" hidden="false" customHeight="false" outlineLevel="0" collapsed="false">
      <c r="A10" s="2" t="n">
        <v>9</v>
      </c>
      <c r="B10" s="1" t="s">
        <v>25</v>
      </c>
      <c r="C10" s="2" t="s">
        <v>101</v>
      </c>
      <c r="D10" s="1" t="s">
        <v>91</v>
      </c>
      <c r="E10" s="2" t="s">
        <v>28</v>
      </c>
      <c r="F10" s="1" t="s">
        <v>119</v>
      </c>
      <c r="G10" s="3" t="s">
        <v>119</v>
      </c>
      <c r="H10" s="2" t="s">
        <v>120</v>
      </c>
      <c r="I10" s="2"/>
      <c r="J10" s="2" t="s">
        <v>121</v>
      </c>
      <c r="K10" s="1" t="s">
        <v>32</v>
      </c>
      <c r="L10" s="1" t="s">
        <v>122</v>
      </c>
      <c r="M10" s="1" t="s">
        <v>48</v>
      </c>
      <c r="N10" s="5" t="s">
        <v>123</v>
      </c>
      <c r="O10" s="2" t="s">
        <v>124</v>
      </c>
      <c r="P10" s="2" t="s">
        <v>125</v>
      </c>
      <c r="Q10" s="1" t="s">
        <v>126</v>
      </c>
      <c r="R10" s="2" t="s">
        <v>127</v>
      </c>
      <c r="S10" s="6" t="s">
        <v>128</v>
      </c>
      <c r="T10" s="1" t="s">
        <v>69</v>
      </c>
      <c r="U10" s="1" t="s">
        <v>69</v>
      </c>
      <c r="V10" s="1" t="s">
        <v>43</v>
      </c>
      <c r="W10" s="1" t="n">
        <v>850</v>
      </c>
      <c r="X10" s="1" t="n">
        <v>2100</v>
      </c>
      <c r="Y10" s="1" t="s">
        <v>129</v>
      </c>
    </row>
    <row r="11" customFormat="false" ht="15.75" hidden="false" customHeight="false" outlineLevel="0" collapsed="false">
      <c r="A11" s="2" t="n">
        <v>10</v>
      </c>
      <c r="B11" s="1" t="s">
        <v>25</v>
      </c>
      <c r="C11" s="2" t="s">
        <v>101</v>
      </c>
      <c r="D11" s="1" t="s">
        <v>91</v>
      </c>
      <c r="E11" s="2" t="s">
        <v>28</v>
      </c>
      <c r="F11" s="1" t="s">
        <v>130</v>
      </c>
      <c r="G11" s="3" t="s">
        <v>131</v>
      </c>
      <c r="H11" s="2" t="s">
        <v>132</v>
      </c>
      <c r="I11" s="2"/>
      <c r="J11" s="2" t="s">
        <v>133</v>
      </c>
      <c r="K11" s="1" t="s">
        <v>32</v>
      </c>
      <c r="L11" s="1" t="s">
        <v>134</v>
      </c>
      <c r="M11" s="1" t="s">
        <v>48</v>
      </c>
      <c r="N11" s="5" t="s">
        <v>135</v>
      </c>
      <c r="O11" s="2" t="s">
        <v>136</v>
      </c>
      <c r="P11" s="2" t="s">
        <v>137</v>
      </c>
      <c r="Q11" s="1" t="s">
        <v>138</v>
      </c>
      <c r="R11" s="2" t="s">
        <v>139</v>
      </c>
      <c r="S11" s="6" t="s">
        <v>140</v>
      </c>
      <c r="T11" s="1" t="s">
        <v>69</v>
      </c>
      <c r="U11" s="1" t="s">
        <v>69</v>
      </c>
      <c r="V11" s="1" t="s">
        <v>33</v>
      </c>
      <c r="W11" s="1" t="n">
        <v>-10000</v>
      </c>
      <c r="X11" s="1" t="n">
        <v>2025</v>
      </c>
    </row>
    <row r="12" customFormat="false" ht="15.75" hidden="false" customHeight="false" outlineLevel="0" collapsed="false">
      <c r="A12" s="2" t="n">
        <v>11</v>
      </c>
      <c r="B12" s="1" t="s">
        <v>25</v>
      </c>
      <c r="C12" s="2" t="s">
        <v>101</v>
      </c>
      <c r="D12" s="1" t="s">
        <v>91</v>
      </c>
      <c r="E12" s="2" t="s">
        <v>28</v>
      </c>
      <c r="F12" s="1" t="s">
        <v>141</v>
      </c>
      <c r="G12" s="3" t="s">
        <v>142</v>
      </c>
      <c r="H12" s="2" t="s">
        <v>143</v>
      </c>
      <c r="I12" s="2"/>
      <c r="J12" s="2" t="s">
        <v>144</v>
      </c>
      <c r="K12" s="1" t="s">
        <v>32</v>
      </c>
      <c r="L12" s="1" t="s">
        <v>145</v>
      </c>
      <c r="M12" s="1" t="s">
        <v>146</v>
      </c>
      <c r="N12" s="5" t="s">
        <v>147</v>
      </c>
      <c r="O12" s="2" t="s">
        <v>148</v>
      </c>
      <c r="P12" s="2" t="s">
        <v>149</v>
      </c>
      <c r="Q12" s="1" t="s">
        <v>150</v>
      </c>
      <c r="R12" s="2" t="s">
        <v>108</v>
      </c>
      <c r="S12" s="6" t="s">
        <v>109</v>
      </c>
      <c r="T12" s="1" t="s">
        <v>69</v>
      </c>
      <c r="U12" s="1" t="s">
        <v>69</v>
      </c>
      <c r="V12" s="1" t="s">
        <v>151</v>
      </c>
      <c r="W12" s="1" t="n">
        <v>1700</v>
      </c>
      <c r="X12" s="1" t="n">
        <v>2000</v>
      </c>
    </row>
    <row r="13" customFormat="false" ht="15.75" hidden="false" customHeight="false" outlineLevel="0" collapsed="false">
      <c r="A13" s="2" t="n">
        <v>12</v>
      </c>
      <c r="B13" s="2" t="s">
        <v>25</v>
      </c>
      <c r="C13" s="2" t="s">
        <v>101</v>
      </c>
      <c r="D13" s="2" t="s">
        <v>91</v>
      </c>
      <c r="E13" s="2" t="s">
        <v>28</v>
      </c>
      <c r="F13" s="2" t="s">
        <v>152</v>
      </c>
      <c r="G13" s="4" t="s">
        <v>153</v>
      </c>
      <c r="I13" s="2" t="s">
        <v>113</v>
      </c>
      <c r="K13" s="2" t="s">
        <v>32</v>
      </c>
      <c r="M13" s="1" t="s">
        <v>48</v>
      </c>
      <c r="N13" s="7" t="s">
        <v>154</v>
      </c>
      <c r="O13" s="2" t="s">
        <v>155</v>
      </c>
      <c r="P13" s="2" t="s">
        <v>156</v>
      </c>
      <c r="Q13" s="2" t="s">
        <v>38</v>
      </c>
      <c r="R13" s="2" t="s">
        <v>98</v>
      </c>
      <c r="S13" s="2" t="s">
        <v>40</v>
      </c>
      <c r="T13" s="2" t="s">
        <v>157</v>
      </c>
      <c r="U13" s="2" t="s">
        <v>157</v>
      </c>
      <c r="V13" s="2" t="s">
        <v>43</v>
      </c>
      <c r="W13" s="2" t="n">
        <v>1985</v>
      </c>
      <c r="X13" s="2" t="n">
        <v>2022</v>
      </c>
      <c r="Y13" s="2" t="s">
        <v>158</v>
      </c>
    </row>
    <row r="14" customFormat="false" ht="15.75" hidden="false" customHeight="false" outlineLevel="0" collapsed="false">
      <c r="A14" s="2" t="n">
        <v>13</v>
      </c>
      <c r="B14" s="2" t="s">
        <v>25</v>
      </c>
      <c r="C14" s="2" t="s">
        <v>101</v>
      </c>
      <c r="D14" s="2" t="s">
        <v>91</v>
      </c>
      <c r="E14" s="2" t="s">
        <v>28</v>
      </c>
      <c r="F14" s="2" t="s">
        <v>159</v>
      </c>
      <c r="G14" s="4" t="s">
        <v>160</v>
      </c>
      <c r="I14" s="2" t="s">
        <v>161</v>
      </c>
      <c r="K14" s="2" t="s">
        <v>32</v>
      </c>
      <c r="L14" s="2" t="s">
        <v>162</v>
      </c>
      <c r="M14" s="1" t="s">
        <v>48</v>
      </c>
      <c r="N14" s="7" t="s">
        <v>163</v>
      </c>
      <c r="O14" s="2" t="s">
        <v>164</v>
      </c>
      <c r="P14" s="2" t="s">
        <v>165</v>
      </c>
      <c r="Q14" s="2" t="s">
        <v>38</v>
      </c>
      <c r="R14" s="2" t="s">
        <v>39</v>
      </c>
      <c r="S14" s="2" t="s">
        <v>40</v>
      </c>
      <c r="T14" s="2" t="s">
        <v>89</v>
      </c>
      <c r="U14" s="2" t="s">
        <v>89</v>
      </c>
      <c r="V14" s="2" t="s">
        <v>43</v>
      </c>
      <c r="W14" s="2" t="n">
        <v>1988</v>
      </c>
      <c r="X14" s="2" t="n">
        <v>2025</v>
      </c>
    </row>
    <row r="15" customFormat="false" ht="15.75" hidden="false" customHeight="false" outlineLevel="0" collapsed="false">
      <c r="A15" s="2" t="n">
        <v>14</v>
      </c>
      <c r="B15" s="2" t="s">
        <v>25</v>
      </c>
      <c r="C15" s="2" t="s">
        <v>101</v>
      </c>
      <c r="D15" s="2" t="s">
        <v>91</v>
      </c>
      <c r="E15" s="2" t="s">
        <v>28</v>
      </c>
      <c r="F15" s="2" t="s">
        <v>166</v>
      </c>
      <c r="G15" s="4" t="s">
        <v>167</v>
      </c>
      <c r="I15" s="2" t="s">
        <v>168</v>
      </c>
      <c r="K15" s="2" t="s">
        <v>32</v>
      </c>
      <c r="M15" s="1" t="s">
        <v>48</v>
      </c>
      <c r="N15" s="7" t="s">
        <v>169</v>
      </c>
      <c r="O15" s="2" t="s">
        <v>170</v>
      </c>
      <c r="P15" s="2" t="s">
        <v>171</v>
      </c>
      <c r="Q15" s="2" t="s">
        <v>38</v>
      </c>
      <c r="R15" s="2" t="s">
        <v>172</v>
      </c>
      <c r="S15" s="2" t="s">
        <v>173</v>
      </c>
      <c r="T15" s="2" t="s">
        <v>99</v>
      </c>
      <c r="U15" s="2" t="s">
        <v>100</v>
      </c>
      <c r="V15" s="2" t="s">
        <v>174</v>
      </c>
      <c r="W15" s="2" t="n">
        <v>1985</v>
      </c>
      <c r="X15" s="2" t="n">
        <v>2005</v>
      </c>
    </row>
    <row r="16" customFormat="false" ht="15.75" hidden="false" customHeight="false" outlineLevel="0" collapsed="false">
      <c r="A16" s="2" t="n">
        <v>15</v>
      </c>
      <c r="B16" s="2" t="s">
        <v>25</v>
      </c>
      <c r="C16" s="2" t="s">
        <v>101</v>
      </c>
      <c r="D16" s="2" t="s">
        <v>91</v>
      </c>
      <c r="E16" s="2" t="s">
        <v>28</v>
      </c>
      <c r="F16" s="2" t="s">
        <v>175</v>
      </c>
      <c r="G16" s="4" t="s">
        <v>176</v>
      </c>
      <c r="I16" s="2" t="s">
        <v>177</v>
      </c>
      <c r="K16" s="2" t="s">
        <v>32</v>
      </c>
      <c r="M16" s="1" t="s">
        <v>48</v>
      </c>
      <c r="N16" s="7" t="s">
        <v>178</v>
      </c>
      <c r="O16" s="2" t="s">
        <v>179</v>
      </c>
      <c r="P16" s="2" t="s">
        <v>180</v>
      </c>
      <c r="Q16" s="2" t="s">
        <v>38</v>
      </c>
      <c r="R16" s="2" t="s">
        <v>52</v>
      </c>
      <c r="S16" s="2" t="s">
        <v>53</v>
      </c>
      <c r="T16" s="2" t="s">
        <v>69</v>
      </c>
      <c r="U16" s="2" t="s">
        <v>69</v>
      </c>
      <c r="V16" s="2" t="s">
        <v>43</v>
      </c>
      <c r="W16" s="2" t="n">
        <v>2015</v>
      </c>
      <c r="X16" s="2" t="n">
        <v>2026</v>
      </c>
    </row>
    <row r="17" customFormat="false" ht="15.75" hidden="false" customHeight="false" outlineLevel="0" collapsed="false">
      <c r="A17" s="2" t="n">
        <v>16</v>
      </c>
      <c r="B17" s="2" t="s">
        <v>25</v>
      </c>
      <c r="C17" s="2" t="s">
        <v>26</v>
      </c>
      <c r="D17" s="2" t="s">
        <v>58</v>
      </c>
      <c r="E17" s="2" t="s">
        <v>181</v>
      </c>
      <c r="F17" s="2" t="s">
        <v>182</v>
      </c>
      <c r="G17" s="4" t="s">
        <v>183</v>
      </c>
      <c r="H17" s="2" t="s">
        <v>184</v>
      </c>
      <c r="I17" s="2" t="s">
        <v>185</v>
      </c>
      <c r="K17" s="2" t="s">
        <v>32</v>
      </c>
      <c r="N17" s="7" t="s">
        <v>186</v>
      </c>
      <c r="O17" s="2" t="s">
        <v>187</v>
      </c>
      <c r="P17" s="2" t="s">
        <v>188</v>
      </c>
      <c r="Q17" s="2" t="s">
        <v>38</v>
      </c>
      <c r="R17" s="2" t="s">
        <v>98</v>
      </c>
      <c r="S17" s="8" t="s">
        <v>40</v>
      </c>
      <c r="T17" s="2" t="s">
        <v>69</v>
      </c>
      <c r="U17" s="2" t="s">
        <v>69</v>
      </c>
      <c r="V17" s="2" t="s">
        <v>151</v>
      </c>
      <c r="W17" s="2" t="n">
        <v>2010</v>
      </c>
      <c r="X17" s="2" t="n">
        <v>2020</v>
      </c>
      <c r="Y17" s="2" t="s">
        <v>189</v>
      </c>
    </row>
    <row r="18" customFormat="false" ht="15.75" hidden="false" customHeight="false" outlineLevel="0" collapsed="false">
      <c r="A18" s="2" t="n">
        <v>17</v>
      </c>
      <c r="B18" s="1" t="s">
        <v>25</v>
      </c>
      <c r="C18" s="2" t="s">
        <v>26</v>
      </c>
      <c r="D18" s="2" t="s">
        <v>27</v>
      </c>
      <c r="E18" s="2" t="s">
        <v>181</v>
      </c>
      <c r="F18" s="2" t="s">
        <v>190</v>
      </c>
      <c r="G18" s="4" t="s">
        <v>191</v>
      </c>
      <c r="H18" s="2" t="s">
        <v>192</v>
      </c>
      <c r="I18" s="2" t="s">
        <v>193</v>
      </c>
      <c r="J18" s="2" t="s">
        <v>82</v>
      </c>
      <c r="K18" s="1" t="s">
        <v>32</v>
      </c>
      <c r="L18" s="1" t="s">
        <v>194</v>
      </c>
      <c r="M18" s="1" t="s">
        <v>146</v>
      </c>
      <c r="N18" s="5" t="s">
        <v>195</v>
      </c>
      <c r="O18" s="2" t="s">
        <v>196</v>
      </c>
      <c r="P18" s="2" t="s">
        <v>197</v>
      </c>
      <c r="Q18" s="1" t="s">
        <v>38</v>
      </c>
      <c r="R18" s="2" t="s">
        <v>39</v>
      </c>
      <c r="S18" s="6" t="s">
        <v>40</v>
      </c>
      <c r="T18" s="2" t="s">
        <v>41</v>
      </c>
      <c r="U18" s="2" t="s">
        <v>198</v>
      </c>
      <c r="V18" s="1" t="s">
        <v>43</v>
      </c>
      <c r="W18" s="2" t="n">
        <v>2008</v>
      </c>
      <c r="X18" s="2" t="n">
        <v>2025</v>
      </c>
      <c r="Y18" s="2" t="s">
        <v>199</v>
      </c>
    </row>
    <row r="19" customFormat="false" ht="15.75" hidden="false" customHeight="false" outlineLevel="0" collapsed="false">
      <c r="A19" s="2" t="n">
        <v>18</v>
      </c>
      <c r="B19" s="1" t="s">
        <v>25</v>
      </c>
      <c r="C19" s="2" t="s">
        <v>26</v>
      </c>
      <c r="D19" s="2" t="s">
        <v>27</v>
      </c>
      <c r="E19" s="2" t="s">
        <v>181</v>
      </c>
      <c r="F19" s="2" t="s">
        <v>200</v>
      </c>
      <c r="G19" s="4" t="s">
        <v>201</v>
      </c>
      <c r="H19" s="2"/>
      <c r="I19" s="2"/>
      <c r="J19" s="2"/>
      <c r="K19" s="2" t="s">
        <v>32</v>
      </c>
      <c r="L19" s="2" t="s">
        <v>33</v>
      </c>
      <c r="N19" s="5" t="s">
        <v>202</v>
      </c>
      <c r="O19" s="2" t="s">
        <v>203</v>
      </c>
      <c r="P19" s="2" t="s">
        <v>204</v>
      </c>
      <c r="Q19" s="1" t="s">
        <v>205</v>
      </c>
      <c r="R19" s="2" t="s">
        <v>206</v>
      </c>
      <c r="S19" s="8" t="s">
        <v>207</v>
      </c>
      <c r="T19" s="1" t="s">
        <v>54</v>
      </c>
      <c r="U19" s="2" t="s">
        <v>55</v>
      </c>
      <c r="V19" s="1" t="s">
        <v>43</v>
      </c>
      <c r="W19" s="1" t="n">
        <v>1980</v>
      </c>
      <c r="X19" s="2" t="n">
        <v>2022</v>
      </c>
    </row>
    <row r="20" customFormat="false" ht="15.75" hidden="false" customHeight="false" outlineLevel="0" collapsed="false">
      <c r="A20" s="2" t="n">
        <v>19</v>
      </c>
      <c r="B20" s="1" t="s">
        <v>25</v>
      </c>
      <c r="C20" s="2" t="s">
        <v>26</v>
      </c>
      <c r="D20" s="2" t="s">
        <v>27</v>
      </c>
      <c r="E20" s="2" t="s">
        <v>181</v>
      </c>
      <c r="F20" s="1" t="s">
        <v>208</v>
      </c>
      <c r="G20" s="3" t="s">
        <v>208</v>
      </c>
      <c r="H20" s="2" t="s">
        <v>209</v>
      </c>
      <c r="I20" s="2" t="s">
        <v>210</v>
      </c>
      <c r="J20" s="2" t="s">
        <v>211</v>
      </c>
      <c r="K20" s="1" t="s">
        <v>32</v>
      </c>
      <c r="L20" s="1" t="s">
        <v>75</v>
      </c>
      <c r="M20" s="1" t="s">
        <v>48</v>
      </c>
      <c r="N20" s="7" t="s">
        <v>212</v>
      </c>
      <c r="O20" s="2" t="s">
        <v>213</v>
      </c>
      <c r="P20" s="2" t="s">
        <v>214</v>
      </c>
      <c r="Q20" s="1" t="s">
        <v>38</v>
      </c>
      <c r="R20" s="2" t="s">
        <v>52</v>
      </c>
      <c r="S20" s="6" t="s">
        <v>53</v>
      </c>
      <c r="T20" s="1" t="s">
        <v>69</v>
      </c>
      <c r="U20" s="1" t="s">
        <v>69</v>
      </c>
      <c r="V20" s="1" t="s">
        <v>79</v>
      </c>
      <c r="W20" s="2" t="n">
        <v>2021</v>
      </c>
      <c r="X20" s="2" t="n">
        <v>2021</v>
      </c>
    </row>
    <row r="21" customFormat="false" ht="15.75" hidden="false" customHeight="false" outlineLevel="0" collapsed="false">
      <c r="A21" s="2" t="n">
        <v>20</v>
      </c>
      <c r="B21" s="2" t="s">
        <v>25</v>
      </c>
      <c r="C21" s="2" t="s">
        <v>26</v>
      </c>
      <c r="D21" s="2" t="s">
        <v>27</v>
      </c>
      <c r="E21" s="2" t="s">
        <v>181</v>
      </c>
      <c r="F21" s="2" t="s">
        <v>215</v>
      </c>
      <c r="G21" s="4" t="s">
        <v>215</v>
      </c>
      <c r="H21" s="2" t="s">
        <v>216</v>
      </c>
      <c r="I21" s="2"/>
      <c r="J21" s="2" t="s">
        <v>217</v>
      </c>
      <c r="K21" s="2" t="s">
        <v>32</v>
      </c>
      <c r="L21" s="2" t="s">
        <v>218</v>
      </c>
      <c r="M21" s="1" t="s">
        <v>48</v>
      </c>
      <c r="N21" s="7" t="s">
        <v>219</v>
      </c>
      <c r="O21" s="2" t="s">
        <v>220</v>
      </c>
      <c r="P21" s="2" t="s">
        <v>221</v>
      </c>
      <c r="Q21" s="2" t="s">
        <v>38</v>
      </c>
      <c r="R21" s="2" t="s">
        <v>222</v>
      </c>
      <c r="S21" s="8" t="s">
        <v>223</v>
      </c>
      <c r="T21" s="2" t="s">
        <v>69</v>
      </c>
      <c r="U21" s="2" t="s">
        <v>69</v>
      </c>
      <c r="V21" s="2" t="s">
        <v>79</v>
      </c>
      <c r="W21" s="2" t="n">
        <v>2020</v>
      </c>
      <c r="X21" s="2" t="n">
        <v>2020</v>
      </c>
    </row>
    <row r="22" customFormat="false" ht="15.75" hidden="false" customHeight="false" outlineLevel="0" collapsed="false">
      <c r="A22" s="2" t="n">
        <v>21</v>
      </c>
      <c r="B22" s="2" t="s">
        <v>25</v>
      </c>
      <c r="C22" s="2" t="s">
        <v>26</v>
      </c>
      <c r="D22" s="2" t="s">
        <v>27</v>
      </c>
      <c r="E22" s="2" t="s">
        <v>181</v>
      </c>
      <c r="F22" s="2" t="s">
        <v>224</v>
      </c>
      <c r="G22" s="4" t="s">
        <v>225</v>
      </c>
      <c r="H22" s="2" t="s">
        <v>226</v>
      </c>
      <c r="I22" s="2" t="s">
        <v>73</v>
      </c>
      <c r="J22" s="2" t="s">
        <v>227</v>
      </c>
      <c r="K22" s="2" t="s">
        <v>32</v>
      </c>
      <c r="L22" s="2" t="s">
        <v>194</v>
      </c>
      <c r="M22" s="2" t="s">
        <v>48</v>
      </c>
      <c r="N22" s="7" t="s">
        <v>228</v>
      </c>
      <c r="O22" s="2" t="s">
        <v>229</v>
      </c>
      <c r="P22" s="2" t="s">
        <v>230</v>
      </c>
      <c r="Q22" s="1" t="s">
        <v>38</v>
      </c>
      <c r="R22" s="2" t="s">
        <v>67</v>
      </c>
      <c r="S22" s="8" t="s">
        <v>68</v>
      </c>
      <c r="T22" s="2" t="s">
        <v>69</v>
      </c>
      <c r="U22" s="2" t="s">
        <v>69</v>
      </c>
      <c r="V22" s="2" t="s">
        <v>79</v>
      </c>
      <c r="W22" s="2" t="n">
        <v>2000</v>
      </c>
      <c r="X22" s="2" t="n">
        <v>2000</v>
      </c>
    </row>
    <row r="23" customFormat="false" ht="15.75" hidden="false" customHeight="false" outlineLevel="0" collapsed="false">
      <c r="A23" s="2" t="n">
        <v>22</v>
      </c>
      <c r="B23" s="2" t="s">
        <v>25</v>
      </c>
      <c r="C23" s="2" t="s">
        <v>26</v>
      </c>
      <c r="D23" s="2" t="s">
        <v>27</v>
      </c>
      <c r="E23" s="2" t="s">
        <v>181</v>
      </c>
      <c r="F23" s="2" t="s">
        <v>231</v>
      </c>
      <c r="G23" s="4" t="s">
        <v>232</v>
      </c>
      <c r="J23" s="2" t="s">
        <v>82</v>
      </c>
      <c r="K23" s="2" t="s">
        <v>233</v>
      </c>
      <c r="M23" s="2" t="s">
        <v>48</v>
      </c>
      <c r="N23" s="7" t="s">
        <v>234</v>
      </c>
      <c r="O23" s="2" t="s">
        <v>235</v>
      </c>
      <c r="P23" s="2" t="s">
        <v>236</v>
      </c>
      <c r="Q23" s="2" t="s">
        <v>237</v>
      </c>
      <c r="R23" s="2" t="s">
        <v>238</v>
      </c>
      <c r="S23" s="8" t="s">
        <v>239</v>
      </c>
      <c r="T23" s="2" t="s">
        <v>54</v>
      </c>
      <c r="U23" s="2" t="s">
        <v>55</v>
      </c>
      <c r="V23" s="2" t="s">
        <v>79</v>
      </c>
      <c r="W23" s="2" t="n">
        <v>2019</v>
      </c>
      <c r="X23" s="2" t="n">
        <v>2023</v>
      </c>
    </row>
    <row r="24" customFormat="false" ht="15.75" hidden="false" customHeight="true" outlineLevel="0" collapsed="false">
      <c r="A24" s="2" t="n">
        <v>23</v>
      </c>
      <c r="B24" s="2" t="s">
        <v>25</v>
      </c>
      <c r="C24" s="2" t="s">
        <v>26</v>
      </c>
      <c r="D24" s="2" t="s">
        <v>27</v>
      </c>
      <c r="E24" s="2" t="s">
        <v>181</v>
      </c>
      <c r="F24" s="2" t="s">
        <v>240</v>
      </c>
      <c r="G24" s="4" t="s">
        <v>241</v>
      </c>
      <c r="H24" s="2" t="s">
        <v>242</v>
      </c>
      <c r="I24" s="2"/>
      <c r="J24" s="2"/>
      <c r="K24" s="2" t="s">
        <v>233</v>
      </c>
      <c r="M24" s="2" t="s">
        <v>48</v>
      </c>
      <c r="N24" s="7" t="s">
        <v>243</v>
      </c>
      <c r="O24" s="2" t="s">
        <v>244</v>
      </c>
      <c r="P24" s="2" t="s">
        <v>245</v>
      </c>
      <c r="Q24" s="2" t="s">
        <v>237</v>
      </c>
      <c r="R24" s="2" t="s">
        <v>238</v>
      </c>
      <c r="S24" s="8" t="s">
        <v>239</v>
      </c>
      <c r="T24" s="2" t="s">
        <v>69</v>
      </c>
      <c r="U24" s="2" t="s">
        <v>69</v>
      </c>
      <c r="V24" s="2" t="s">
        <v>246</v>
      </c>
      <c r="W24" s="2" t="n">
        <v>2000</v>
      </c>
      <c r="X24" s="2" t="n">
        <v>2020</v>
      </c>
    </row>
    <row r="25" customFormat="false" ht="15.75" hidden="false" customHeight="false" outlineLevel="0" collapsed="false">
      <c r="A25" s="2" t="n">
        <v>24</v>
      </c>
      <c r="B25" s="2" t="s">
        <v>25</v>
      </c>
      <c r="C25" s="2" t="s">
        <v>26</v>
      </c>
      <c r="D25" s="2" t="s">
        <v>27</v>
      </c>
      <c r="E25" s="2" t="s">
        <v>181</v>
      </c>
      <c r="F25" s="2" t="s">
        <v>247</v>
      </c>
      <c r="G25" s="4" t="s">
        <v>248</v>
      </c>
      <c r="I25" s="2" t="s">
        <v>249</v>
      </c>
      <c r="K25" s="2" t="s">
        <v>32</v>
      </c>
      <c r="M25" s="2" t="s">
        <v>48</v>
      </c>
      <c r="N25" s="7" t="s">
        <v>250</v>
      </c>
      <c r="O25" s="2" t="s">
        <v>251</v>
      </c>
      <c r="P25" s="2" t="s">
        <v>252</v>
      </c>
      <c r="Q25" s="2" t="s">
        <v>38</v>
      </c>
      <c r="R25" s="2" t="s">
        <v>39</v>
      </c>
      <c r="S25" s="8" t="s">
        <v>40</v>
      </c>
      <c r="T25" s="2" t="s">
        <v>157</v>
      </c>
      <c r="U25" s="2" t="s">
        <v>253</v>
      </c>
      <c r="V25" s="2" t="s">
        <v>43</v>
      </c>
      <c r="W25" s="2" t="n">
        <v>2018</v>
      </c>
      <c r="X25" s="2" t="n">
        <v>2024</v>
      </c>
    </row>
    <row r="26" customFormat="false" ht="15.75" hidden="false" customHeight="false" outlineLevel="0" collapsed="false">
      <c r="A26" s="2" t="n">
        <v>25</v>
      </c>
      <c r="B26" s="2" t="s">
        <v>25</v>
      </c>
      <c r="C26" s="2" t="s">
        <v>26</v>
      </c>
      <c r="D26" s="2" t="s">
        <v>58</v>
      </c>
      <c r="E26" s="2" t="s">
        <v>181</v>
      </c>
      <c r="F26" s="2" t="s">
        <v>254</v>
      </c>
      <c r="G26" s="4" t="s">
        <v>255</v>
      </c>
      <c r="H26" s="10" t="s">
        <v>256</v>
      </c>
      <c r="J26" s="2" t="s">
        <v>104</v>
      </c>
      <c r="K26" s="2" t="s">
        <v>32</v>
      </c>
      <c r="L26" s="2" t="s">
        <v>83</v>
      </c>
      <c r="M26" s="2" t="s">
        <v>146</v>
      </c>
      <c r="N26" s="7" t="s">
        <v>257</v>
      </c>
      <c r="O26" s="2" t="s">
        <v>258</v>
      </c>
      <c r="P26" s="2" t="s">
        <v>259</v>
      </c>
      <c r="Q26" s="2" t="s">
        <v>38</v>
      </c>
      <c r="R26" s="2" t="s">
        <v>260</v>
      </c>
      <c r="S26" s="8" t="s">
        <v>261</v>
      </c>
      <c r="T26" s="2" t="s">
        <v>69</v>
      </c>
      <c r="U26" s="2" t="s">
        <v>69</v>
      </c>
      <c r="V26" s="2" t="s">
        <v>79</v>
      </c>
      <c r="W26" s="2" t="n">
        <v>2010</v>
      </c>
      <c r="X26" s="2" t="n">
        <v>2010</v>
      </c>
    </row>
    <row r="27" customFormat="false" ht="15.75" hidden="false" customHeight="false" outlineLevel="0" collapsed="false">
      <c r="A27" s="2" t="n">
        <v>26</v>
      </c>
      <c r="B27" s="2" t="s">
        <v>25</v>
      </c>
      <c r="C27" s="2" t="s">
        <v>26</v>
      </c>
      <c r="D27" s="2" t="s">
        <v>58</v>
      </c>
      <c r="E27" s="2" t="s">
        <v>181</v>
      </c>
      <c r="F27" s="2" t="s">
        <v>262</v>
      </c>
      <c r="G27" s="4" t="s">
        <v>263</v>
      </c>
      <c r="I27" s="2" t="s">
        <v>177</v>
      </c>
      <c r="K27" s="2" t="s">
        <v>32</v>
      </c>
      <c r="M27" s="1" t="s">
        <v>48</v>
      </c>
      <c r="N27" s="7" t="s">
        <v>264</v>
      </c>
      <c r="O27" s="2" t="s">
        <v>265</v>
      </c>
      <c r="P27" s="2" t="s">
        <v>266</v>
      </c>
      <c r="Q27" s="2" t="s">
        <v>38</v>
      </c>
      <c r="R27" s="2" t="s">
        <v>52</v>
      </c>
      <c r="S27" s="2" t="s">
        <v>53</v>
      </c>
      <c r="T27" s="2" t="s">
        <v>267</v>
      </c>
      <c r="U27" s="2" t="s">
        <v>267</v>
      </c>
      <c r="V27" s="2" t="s">
        <v>79</v>
      </c>
      <c r="W27" s="2" t="n">
        <v>2019</v>
      </c>
      <c r="X27" s="2" t="n">
        <v>2019</v>
      </c>
    </row>
    <row r="28" customFormat="false" ht="15.75" hidden="false" customHeight="false" outlineLevel="0" collapsed="false">
      <c r="A28" s="2" t="n">
        <v>27</v>
      </c>
      <c r="B28" s="2" t="s">
        <v>25</v>
      </c>
      <c r="C28" s="2" t="s">
        <v>26</v>
      </c>
      <c r="D28" s="2" t="s">
        <v>91</v>
      </c>
      <c r="E28" s="2" t="s">
        <v>181</v>
      </c>
      <c r="F28" s="2" t="s">
        <v>268</v>
      </c>
      <c r="G28" s="4" t="s">
        <v>269</v>
      </c>
      <c r="H28" s="2" t="s">
        <v>270</v>
      </c>
      <c r="I28" s="2" t="s">
        <v>177</v>
      </c>
      <c r="J28" s="2" t="s">
        <v>271</v>
      </c>
      <c r="K28" s="2" t="s">
        <v>32</v>
      </c>
      <c r="N28" s="7" t="s">
        <v>272</v>
      </c>
      <c r="O28" s="2" t="s">
        <v>273</v>
      </c>
      <c r="P28" s="2" t="s">
        <v>274</v>
      </c>
      <c r="Q28" s="2" t="s">
        <v>38</v>
      </c>
      <c r="R28" s="2" t="s">
        <v>52</v>
      </c>
      <c r="S28" s="8" t="s">
        <v>53</v>
      </c>
      <c r="T28" s="2" t="s">
        <v>54</v>
      </c>
      <c r="U28" s="2" t="s">
        <v>55</v>
      </c>
      <c r="V28" s="2" t="s">
        <v>43</v>
      </c>
      <c r="W28" s="2" t="n">
        <v>2017</v>
      </c>
      <c r="X28" s="2" t="n">
        <v>2023</v>
      </c>
    </row>
    <row r="29" customFormat="false" ht="15.75" hidden="false" customHeight="true" outlineLevel="0" collapsed="false">
      <c r="A29" s="2" t="n">
        <v>28</v>
      </c>
      <c r="B29" s="1" t="s">
        <v>25</v>
      </c>
      <c r="C29" s="2" t="s">
        <v>26</v>
      </c>
      <c r="D29" s="1" t="s">
        <v>91</v>
      </c>
      <c r="E29" s="2" t="s">
        <v>181</v>
      </c>
      <c r="F29" s="1" t="s">
        <v>275</v>
      </c>
      <c r="G29" s="4" t="s">
        <v>276</v>
      </c>
      <c r="H29" s="2" t="s">
        <v>183</v>
      </c>
      <c r="I29" s="2" t="s">
        <v>277</v>
      </c>
      <c r="J29" s="2"/>
      <c r="K29" s="1" t="s">
        <v>32</v>
      </c>
      <c r="L29" s="1" t="s">
        <v>194</v>
      </c>
      <c r="M29" s="1" t="s">
        <v>48</v>
      </c>
      <c r="N29" s="5" t="s">
        <v>278</v>
      </c>
      <c r="O29" s="2" t="s">
        <v>279</v>
      </c>
      <c r="P29" s="2" t="s">
        <v>280</v>
      </c>
      <c r="Q29" s="1" t="s">
        <v>38</v>
      </c>
      <c r="R29" s="2" t="s">
        <v>39</v>
      </c>
      <c r="S29" s="6" t="s">
        <v>40</v>
      </c>
      <c r="T29" s="1" t="s">
        <v>69</v>
      </c>
      <c r="U29" s="1" t="s">
        <v>69</v>
      </c>
      <c r="V29" s="1" t="s">
        <v>281</v>
      </c>
      <c r="W29" s="1" t="n">
        <v>2000</v>
      </c>
      <c r="X29" s="1" t="n">
        <v>2019</v>
      </c>
    </row>
    <row r="30" customFormat="false" ht="15.75" hidden="false" customHeight="false" outlineLevel="0" collapsed="false">
      <c r="A30" s="2" t="n">
        <v>29</v>
      </c>
      <c r="B30" s="2" t="s">
        <v>25</v>
      </c>
      <c r="C30" s="2" t="s">
        <v>26</v>
      </c>
      <c r="D30" s="2" t="s">
        <v>91</v>
      </c>
      <c r="E30" s="2" t="s">
        <v>181</v>
      </c>
      <c r="F30" s="2" t="s">
        <v>282</v>
      </c>
      <c r="G30" s="4" t="s">
        <v>283</v>
      </c>
      <c r="H30" s="2" t="s">
        <v>284</v>
      </c>
      <c r="I30" s="2"/>
      <c r="J30" s="2" t="s">
        <v>62</v>
      </c>
      <c r="K30" s="2" t="s">
        <v>32</v>
      </c>
      <c r="L30" s="2" t="s">
        <v>285</v>
      </c>
      <c r="M30" s="2" t="s">
        <v>48</v>
      </c>
      <c r="N30" s="7" t="s">
        <v>286</v>
      </c>
      <c r="O30" s="2" t="s">
        <v>287</v>
      </c>
      <c r="P30" s="2" t="s">
        <v>288</v>
      </c>
      <c r="Q30" s="2" t="s">
        <v>289</v>
      </c>
      <c r="R30" s="2" t="s">
        <v>67</v>
      </c>
      <c r="S30" s="8" t="s">
        <v>68</v>
      </c>
      <c r="T30" s="2" t="s">
        <v>69</v>
      </c>
      <c r="U30" s="2" t="s">
        <v>69</v>
      </c>
      <c r="W30" s="2" t="n">
        <v>1700</v>
      </c>
      <c r="X30" s="2" t="n">
        <v>1992</v>
      </c>
    </row>
    <row r="31" customFormat="false" ht="15.75" hidden="false" customHeight="false" outlineLevel="0" collapsed="false">
      <c r="A31" s="2" t="n">
        <v>30</v>
      </c>
      <c r="B31" s="2" t="s">
        <v>25</v>
      </c>
      <c r="C31" s="2" t="s">
        <v>26</v>
      </c>
      <c r="D31" s="2" t="s">
        <v>91</v>
      </c>
      <c r="E31" s="2" t="s">
        <v>181</v>
      </c>
      <c r="F31" s="2" t="s">
        <v>290</v>
      </c>
      <c r="G31" s="4" t="s">
        <v>291</v>
      </c>
      <c r="H31" s="2" t="s">
        <v>292</v>
      </c>
      <c r="I31" s="2" t="s">
        <v>177</v>
      </c>
      <c r="J31" s="2"/>
      <c r="K31" s="2" t="s">
        <v>32</v>
      </c>
      <c r="N31" s="7" t="s">
        <v>293</v>
      </c>
      <c r="O31" s="2" t="s">
        <v>294</v>
      </c>
      <c r="P31" s="2" t="s">
        <v>295</v>
      </c>
      <c r="R31" s="2" t="s">
        <v>296</v>
      </c>
      <c r="S31" s="8" t="s">
        <v>297</v>
      </c>
      <c r="T31" s="2" t="s">
        <v>69</v>
      </c>
      <c r="U31" s="2" t="s">
        <v>69</v>
      </c>
      <c r="V31" s="2" t="s">
        <v>43</v>
      </c>
      <c r="W31" s="2" t="n">
        <v>2000</v>
      </c>
      <c r="X31" s="2" t="n">
        <v>2017</v>
      </c>
      <c r="Y31" s="2" t="s">
        <v>298</v>
      </c>
    </row>
    <row r="32" customFormat="false" ht="21.75" hidden="false" customHeight="true" outlineLevel="0" collapsed="false">
      <c r="A32" s="2" t="n">
        <v>31</v>
      </c>
      <c r="B32" s="2" t="s">
        <v>25</v>
      </c>
      <c r="C32" s="2" t="s">
        <v>26</v>
      </c>
      <c r="D32" s="2" t="s">
        <v>91</v>
      </c>
      <c r="E32" s="2" t="s">
        <v>181</v>
      </c>
      <c r="F32" s="2" t="s">
        <v>299</v>
      </c>
      <c r="G32" s="4" t="s">
        <v>300</v>
      </c>
      <c r="H32" s="2" t="s">
        <v>301</v>
      </c>
      <c r="I32" s="2" t="s">
        <v>302</v>
      </c>
      <c r="J32" s="2" t="s">
        <v>104</v>
      </c>
      <c r="K32" s="2" t="s">
        <v>32</v>
      </c>
      <c r="L32" s="2" t="s">
        <v>303</v>
      </c>
      <c r="M32" s="1" t="s">
        <v>48</v>
      </c>
      <c r="N32" s="7" t="s">
        <v>304</v>
      </c>
      <c r="O32" s="2" t="s">
        <v>305</v>
      </c>
      <c r="P32" s="2" t="s">
        <v>306</v>
      </c>
      <c r="Q32" s="2" t="s">
        <v>38</v>
      </c>
      <c r="R32" s="2" t="s">
        <v>52</v>
      </c>
      <c r="S32" s="2" t="s">
        <v>53</v>
      </c>
      <c r="T32" s="2" t="s">
        <v>99</v>
      </c>
      <c r="U32" s="2" t="s">
        <v>307</v>
      </c>
      <c r="V32" s="2" t="s">
        <v>43</v>
      </c>
      <c r="W32" s="2" t="n">
        <v>2019</v>
      </c>
      <c r="X32" s="2" t="n">
        <v>2025</v>
      </c>
    </row>
    <row r="33" customFormat="false" ht="15.75" hidden="false" customHeight="false" outlineLevel="0" collapsed="false">
      <c r="A33" s="2" t="n">
        <v>32</v>
      </c>
      <c r="B33" s="1" t="s">
        <v>25</v>
      </c>
      <c r="C33" s="2" t="s">
        <v>26</v>
      </c>
      <c r="D33" s="1" t="s">
        <v>308</v>
      </c>
      <c r="E33" s="2" t="s">
        <v>309</v>
      </c>
      <c r="F33" s="1" t="s">
        <v>310</v>
      </c>
      <c r="G33" s="4" t="s">
        <v>311</v>
      </c>
      <c r="H33" s="2" t="s">
        <v>312</v>
      </c>
      <c r="I33" s="2"/>
      <c r="J33" s="2" t="s">
        <v>313</v>
      </c>
      <c r="K33" s="1" t="s">
        <v>32</v>
      </c>
      <c r="L33" s="1" t="s">
        <v>314</v>
      </c>
      <c r="M33" s="1" t="s">
        <v>48</v>
      </c>
      <c r="N33" s="7" t="s">
        <v>315</v>
      </c>
      <c r="O33" s="2" t="s">
        <v>316</v>
      </c>
      <c r="P33" s="2" t="s">
        <v>317</v>
      </c>
      <c r="Q33" s="2" t="s">
        <v>289</v>
      </c>
      <c r="R33" s="2" t="s">
        <v>222</v>
      </c>
      <c r="S33" s="6" t="s">
        <v>223</v>
      </c>
      <c r="T33" s="1" t="s">
        <v>69</v>
      </c>
      <c r="U33" s="1" t="s">
        <v>69</v>
      </c>
      <c r="V33" s="1" t="s">
        <v>79</v>
      </c>
      <c r="W33" s="1" t="n">
        <v>2020</v>
      </c>
      <c r="X33" s="1" t="n">
        <v>2020</v>
      </c>
      <c r="Y33" s="1" t="s">
        <v>318</v>
      </c>
    </row>
    <row r="34" customFormat="false" ht="15.75" hidden="false" customHeight="false" outlineLevel="0" collapsed="false">
      <c r="A34" s="2" t="n">
        <v>33</v>
      </c>
      <c r="B34" s="1" t="s">
        <v>25</v>
      </c>
      <c r="C34" s="2" t="s">
        <v>26</v>
      </c>
      <c r="D34" s="1" t="s">
        <v>308</v>
      </c>
      <c r="E34" s="2" t="s">
        <v>309</v>
      </c>
      <c r="F34" s="2" t="s">
        <v>319</v>
      </c>
      <c r="G34" s="4" t="s">
        <v>313</v>
      </c>
      <c r="H34" s="2"/>
      <c r="I34" s="2"/>
      <c r="J34" s="2" t="s">
        <v>320</v>
      </c>
      <c r="K34" s="2" t="s">
        <v>233</v>
      </c>
      <c r="L34" s="2" t="s">
        <v>145</v>
      </c>
      <c r="M34" s="1" t="s">
        <v>146</v>
      </c>
      <c r="N34" s="5" t="s">
        <v>321</v>
      </c>
      <c r="O34" s="2" t="s">
        <v>322</v>
      </c>
      <c r="P34" s="2" t="s">
        <v>323</v>
      </c>
      <c r="Q34" s="1" t="s">
        <v>237</v>
      </c>
      <c r="R34" s="1" t="s">
        <v>238</v>
      </c>
      <c r="S34" s="6" t="s">
        <v>239</v>
      </c>
      <c r="T34" s="1" t="s">
        <v>69</v>
      </c>
      <c r="U34" s="1" t="s">
        <v>69</v>
      </c>
      <c r="V34" s="1" t="s">
        <v>151</v>
      </c>
      <c r="W34" s="2" t="n">
        <v>1992</v>
      </c>
      <c r="X34" s="2" t="n">
        <v>2025</v>
      </c>
    </row>
    <row r="35" customFormat="false" ht="15.75" hidden="false" customHeight="false" outlineLevel="0" collapsed="false">
      <c r="A35" s="2" t="n">
        <v>34</v>
      </c>
      <c r="B35" s="1" t="s">
        <v>25</v>
      </c>
      <c r="C35" s="2" t="s">
        <v>26</v>
      </c>
      <c r="D35" s="1" t="s">
        <v>308</v>
      </c>
      <c r="E35" s="2" t="s">
        <v>309</v>
      </c>
      <c r="F35" s="1" t="s">
        <v>324</v>
      </c>
      <c r="G35" s="3" t="s">
        <v>325</v>
      </c>
      <c r="H35" s="2" t="s">
        <v>326</v>
      </c>
      <c r="I35" s="2"/>
      <c r="J35" s="2" t="s">
        <v>327</v>
      </c>
      <c r="K35" s="1" t="s">
        <v>32</v>
      </c>
      <c r="L35" s="1" t="s">
        <v>328</v>
      </c>
      <c r="M35" s="1" t="s">
        <v>48</v>
      </c>
      <c r="N35" s="5" t="s">
        <v>329</v>
      </c>
      <c r="O35" s="2" t="s">
        <v>330</v>
      </c>
      <c r="P35" s="2" t="s">
        <v>331</v>
      </c>
      <c r="Q35" s="1" t="s">
        <v>38</v>
      </c>
      <c r="R35" s="2" t="s">
        <v>67</v>
      </c>
      <c r="S35" s="6" t="s">
        <v>68</v>
      </c>
      <c r="T35" s="1" t="s">
        <v>69</v>
      </c>
      <c r="U35" s="1" t="s">
        <v>69</v>
      </c>
      <c r="V35" s="1" t="s">
        <v>43</v>
      </c>
      <c r="W35" s="1" t="n">
        <v>1961</v>
      </c>
      <c r="X35" s="1" t="n">
        <v>2020</v>
      </c>
      <c r="Y35" s="1" t="s">
        <v>332</v>
      </c>
    </row>
    <row r="36" customFormat="false" ht="17.25" hidden="false" customHeight="true" outlineLevel="0" collapsed="false">
      <c r="A36" s="2" t="n">
        <v>35</v>
      </c>
      <c r="B36" s="2" t="s">
        <v>25</v>
      </c>
      <c r="C36" s="2" t="s">
        <v>26</v>
      </c>
      <c r="D36" s="2" t="s">
        <v>308</v>
      </c>
      <c r="E36" s="2" t="s">
        <v>309</v>
      </c>
      <c r="F36" s="2" t="s">
        <v>333</v>
      </c>
      <c r="G36" s="4" t="s">
        <v>334</v>
      </c>
      <c r="H36" s="2" t="s">
        <v>225</v>
      </c>
      <c r="I36" s="2"/>
      <c r="J36" s="2" t="s">
        <v>335</v>
      </c>
      <c r="K36" s="2" t="s">
        <v>32</v>
      </c>
      <c r="L36" s="2" t="s">
        <v>336</v>
      </c>
      <c r="M36" s="2" t="s">
        <v>48</v>
      </c>
      <c r="N36" s="7" t="s">
        <v>337</v>
      </c>
      <c r="O36" s="2" t="s">
        <v>338</v>
      </c>
      <c r="P36" s="2" t="s">
        <v>339</v>
      </c>
      <c r="R36" s="2" t="s">
        <v>67</v>
      </c>
      <c r="S36" s="8" t="s">
        <v>68</v>
      </c>
      <c r="T36" s="2" t="s">
        <v>69</v>
      </c>
      <c r="U36" s="2" t="s">
        <v>69</v>
      </c>
      <c r="V36" s="2" t="s">
        <v>79</v>
      </c>
      <c r="W36" s="2" t="n">
        <v>2000</v>
      </c>
      <c r="X36" s="2" t="n">
        <v>2000</v>
      </c>
    </row>
    <row r="37" customFormat="false" ht="19.5" hidden="false" customHeight="true" outlineLevel="0" collapsed="false">
      <c r="A37" s="2" t="n">
        <v>36</v>
      </c>
      <c r="B37" s="2" t="s">
        <v>25</v>
      </c>
      <c r="C37" s="2" t="s">
        <v>26</v>
      </c>
      <c r="D37" s="2" t="s">
        <v>308</v>
      </c>
      <c r="E37" s="2" t="s">
        <v>309</v>
      </c>
      <c r="F37" s="2" t="s">
        <v>340</v>
      </c>
      <c r="G37" s="4" t="s">
        <v>341</v>
      </c>
      <c r="H37" s="2" t="s">
        <v>225</v>
      </c>
      <c r="I37" s="2"/>
      <c r="J37" s="2" t="s">
        <v>342</v>
      </c>
      <c r="K37" s="2" t="s">
        <v>233</v>
      </c>
      <c r="N37" s="7" t="s">
        <v>343</v>
      </c>
      <c r="O37" s="2" t="s">
        <v>344</v>
      </c>
      <c r="P37" s="2" t="s">
        <v>345</v>
      </c>
      <c r="R37" s="2" t="s">
        <v>238</v>
      </c>
      <c r="S37" s="8" t="s">
        <v>239</v>
      </c>
      <c r="T37" s="2" t="s">
        <v>69</v>
      </c>
      <c r="U37" s="2" t="s">
        <v>69</v>
      </c>
      <c r="W37" s="2" t="n">
        <v>1961</v>
      </c>
      <c r="X37" s="2" t="n">
        <v>2011</v>
      </c>
    </row>
    <row r="38" customFormat="false" ht="15.75" hidden="false" customHeight="false" outlineLevel="0" collapsed="false">
      <c r="A38" s="2" t="n">
        <v>37</v>
      </c>
      <c r="B38" s="1" t="s">
        <v>25</v>
      </c>
      <c r="C38" s="2" t="s">
        <v>57</v>
      </c>
      <c r="D38" s="1" t="s">
        <v>308</v>
      </c>
      <c r="E38" s="2" t="s">
        <v>309</v>
      </c>
      <c r="F38" s="2" t="s">
        <v>346</v>
      </c>
      <c r="G38" s="3" t="s">
        <v>347</v>
      </c>
      <c r="H38" s="2"/>
      <c r="I38" s="2"/>
      <c r="J38" s="2" t="s">
        <v>104</v>
      </c>
      <c r="K38" s="2" t="s">
        <v>233</v>
      </c>
      <c r="L38" s="1" t="s">
        <v>145</v>
      </c>
      <c r="M38" s="1" t="s">
        <v>48</v>
      </c>
      <c r="N38" s="5" t="s">
        <v>348</v>
      </c>
      <c r="O38" s="2" t="s">
        <v>349</v>
      </c>
      <c r="P38" s="2" t="s">
        <v>350</v>
      </c>
      <c r="Q38" s="1" t="s">
        <v>237</v>
      </c>
      <c r="R38" s="1" t="s">
        <v>238</v>
      </c>
      <c r="S38" s="6" t="s">
        <v>239</v>
      </c>
      <c r="T38" s="1" t="s">
        <v>69</v>
      </c>
      <c r="U38" s="1" t="s">
        <v>69</v>
      </c>
      <c r="V38" s="1" t="s">
        <v>43</v>
      </c>
      <c r="W38" s="1" t="n">
        <v>1961</v>
      </c>
      <c r="X38" s="1" t="n">
        <v>2023</v>
      </c>
      <c r="Y38" s="1" t="s">
        <v>351</v>
      </c>
    </row>
    <row r="39" customFormat="false" ht="15.75" hidden="false" customHeight="false" outlineLevel="0" collapsed="false">
      <c r="A39" s="2" t="n">
        <v>38</v>
      </c>
      <c r="B39" s="1" t="s">
        <v>25</v>
      </c>
      <c r="C39" s="2" t="s">
        <v>57</v>
      </c>
      <c r="D39" s="1" t="s">
        <v>308</v>
      </c>
      <c r="E39" s="2" t="s">
        <v>309</v>
      </c>
      <c r="F39" s="2" t="s">
        <v>352</v>
      </c>
      <c r="G39" s="4" t="s">
        <v>353</v>
      </c>
      <c r="H39" s="2"/>
      <c r="I39" s="2"/>
      <c r="J39" s="2" t="s">
        <v>104</v>
      </c>
      <c r="K39" s="2" t="s">
        <v>233</v>
      </c>
      <c r="L39" s="1" t="s">
        <v>354</v>
      </c>
      <c r="M39" s="1" t="s">
        <v>48</v>
      </c>
      <c r="N39" s="5" t="s">
        <v>355</v>
      </c>
      <c r="O39" s="2" t="s">
        <v>349</v>
      </c>
      <c r="P39" s="2" t="s">
        <v>356</v>
      </c>
      <c r="Q39" s="1" t="s">
        <v>237</v>
      </c>
      <c r="R39" s="1" t="s">
        <v>238</v>
      </c>
      <c r="S39" s="6" t="s">
        <v>239</v>
      </c>
      <c r="T39" s="1" t="s">
        <v>69</v>
      </c>
      <c r="U39" s="1" t="s">
        <v>69</v>
      </c>
      <c r="V39" s="1" t="s">
        <v>43</v>
      </c>
      <c r="W39" s="1" t="n">
        <v>1961</v>
      </c>
      <c r="X39" s="1" t="n">
        <v>2023</v>
      </c>
    </row>
    <row r="40" customFormat="false" ht="15.75" hidden="false" customHeight="false" outlineLevel="0" collapsed="false">
      <c r="A40" s="2" t="n">
        <v>39</v>
      </c>
      <c r="B40" s="1" t="s">
        <v>25</v>
      </c>
      <c r="C40" s="2" t="s">
        <v>57</v>
      </c>
      <c r="D40" s="1" t="s">
        <v>308</v>
      </c>
      <c r="E40" s="2" t="s">
        <v>309</v>
      </c>
      <c r="F40" s="1" t="s">
        <v>357</v>
      </c>
      <c r="G40" s="4" t="s">
        <v>358</v>
      </c>
      <c r="H40" s="2" t="s">
        <v>359</v>
      </c>
      <c r="I40" s="2"/>
      <c r="J40" s="2" t="s">
        <v>360</v>
      </c>
      <c r="K40" s="1" t="s">
        <v>32</v>
      </c>
      <c r="L40" s="1" t="s">
        <v>361</v>
      </c>
      <c r="M40" s="1" t="s">
        <v>48</v>
      </c>
      <c r="N40" s="5" t="s">
        <v>362</v>
      </c>
      <c r="O40" s="2" t="s">
        <v>363</v>
      </c>
      <c r="P40" s="2" t="s">
        <v>364</v>
      </c>
      <c r="Q40" s="1" t="s">
        <v>38</v>
      </c>
      <c r="R40" s="2" t="s">
        <v>365</v>
      </c>
      <c r="S40" s="6" t="s">
        <v>366</v>
      </c>
      <c r="T40" s="1" t="s">
        <v>69</v>
      </c>
      <c r="U40" s="1" t="s">
        <v>69</v>
      </c>
      <c r="V40" s="1" t="s">
        <v>79</v>
      </c>
      <c r="W40" s="1" t="n">
        <v>2001</v>
      </c>
      <c r="X40" s="1" t="n">
        <v>2001</v>
      </c>
    </row>
    <row r="41" customFormat="false" ht="15.75" hidden="false" customHeight="false" outlineLevel="0" collapsed="false">
      <c r="A41" s="2" t="n">
        <v>40</v>
      </c>
      <c r="B41" s="1" t="s">
        <v>25</v>
      </c>
      <c r="C41" s="2" t="s">
        <v>57</v>
      </c>
      <c r="D41" s="1" t="s">
        <v>308</v>
      </c>
      <c r="E41" s="2" t="s">
        <v>309</v>
      </c>
      <c r="F41" s="1" t="s">
        <v>367</v>
      </c>
      <c r="G41" s="4" t="s">
        <v>368</v>
      </c>
      <c r="H41" s="2"/>
      <c r="I41" s="2"/>
      <c r="J41" s="2" t="s">
        <v>369</v>
      </c>
      <c r="K41" s="2" t="s">
        <v>233</v>
      </c>
      <c r="L41" s="1" t="s">
        <v>370</v>
      </c>
      <c r="M41" s="1" t="s">
        <v>48</v>
      </c>
      <c r="N41" s="5" t="s">
        <v>371</v>
      </c>
      <c r="O41" s="2" t="s">
        <v>372</v>
      </c>
      <c r="P41" s="2" t="s">
        <v>373</v>
      </c>
      <c r="Q41" s="1" t="s">
        <v>237</v>
      </c>
      <c r="R41" s="1" t="s">
        <v>238</v>
      </c>
      <c r="S41" s="6" t="s">
        <v>239</v>
      </c>
      <c r="T41" s="1" t="s">
        <v>54</v>
      </c>
      <c r="U41" s="2" t="s">
        <v>55</v>
      </c>
      <c r="V41" s="1" t="s">
        <v>43</v>
      </c>
      <c r="W41" s="1" t="n">
        <v>1961</v>
      </c>
      <c r="X41" s="1" t="n">
        <v>2019</v>
      </c>
    </row>
    <row r="42" customFormat="false" ht="15.75" hidden="false" customHeight="false" outlineLevel="0" collapsed="false">
      <c r="A42" s="2" t="n">
        <v>41</v>
      </c>
      <c r="B42" s="2" t="s">
        <v>25</v>
      </c>
      <c r="C42" s="2" t="s">
        <v>57</v>
      </c>
      <c r="D42" s="2" t="s">
        <v>308</v>
      </c>
      <c r="E42" s="2" t="s">
        <v>309</v>
      </c>
      <c r="F42" s="2" t="s">
        <v>374</v>
      </c>
      <c r="G42" s="4" t="s">
        <v>375</v>
      </c>
      <c r="K42" s="2" t="s">
        <v>233</v>
      </c>
      <c r="M42" s="1" t="s">
        <v>48</v>
      </c>
      <c r="N42" s="7" t="s">
        <v>376</v>
      </c>
      <c r="O42" s="2" t="s">
        <v>377</v>
      </c>
      <c r="P42" s="2" t="s">
        <v>378</v>
      </c>
      <c r="Q42" s="2" t="s">
        <v>379</v>
      </c>
      <c r="R42" s="2" t="s">
        <v>108</v>
      </c>
      <c r="S42" s="8" t="s">
        <v>109</v>
      </c>
      <c r="T42" s="2" t="s">
        <v>54</v>
      </c>
      <c r="U42" s="2" t="s">
        <v>55</v>
      </c>
      <c r="V42" s="2" t="s">
        <v>43</v>
      </c>
      <c r="W42" s="2" t="n">
        <v>2008</v>
      </c>
      <c r="X42" s="2" t="n">
        <v>2019</v>
      </c>
    </row>
    <row r="43" customFormat="false" ht="15.75" hidden="false" customHeight="false" outlineLevel="0" collapsed="false">
      <c r="A43" s="2" t="n">
        <v>42</v>
      </c>
      <c r="B43" s="2" t="s">
        <v>25</v>
      </c>
      <c r="C43" s="2" t="s">
        <v>380</v>
      </c>
      <c r="D43" s="2" t="s">
        <v>91</v>
      </c>
      <c r="E43" s="2" t="s">
        <v>381</v>
      </c>
      <c r="F43" s="2" t="s">
        <v>382</v>
      </c>
      <c r="G43" s="4" t="s">
        <v>383</v>
      </c>
      <c r="K43" s="2" t="s">
        <v>233</v>
      </c>
      <c r="N43" s="7" t="s">
        <v>384</v>
      </c>
      <c r="O43" s="2" t="s">
        <v>385</v>
      </c>
      <c r="P43" s="2" t="s">
        <v>386</v>
      </c>
      <c r="Q43" s="2" t="s">
        <v>237</v>
      </c>
      <c r="R43" s="2" t="s">
        <v>387</v>
      </c>
      <c r="S43" s="8" t="s">
        <v>366</v>
      </c>
      <c r="T43" s="2" t="s">
        <v>41</v>
      </c>
      <c r="U43" s="2" t="s">
        <v>198</v>
      </c>
      <c r="V43" s="2" t="s">
        <v>43</v>
      </c>
      <c r="W43" s="2" t="n">
        <v>2015</v>
      </c>
      <c r="X43" s="2" t="n">
        <v>2022</v>
      </c>
    </row>
    <row r="44" customFormat="false" ht="15.75" hidden="false" customHeight="false" outlineLevel="0" collapsed="false">
      <c r="A44" s="2" t="n">
        <v>43</v>
      </c>
      <c r="B44" s="1" t="s">
        <v>25</v>
      </c>
      <c r="C44" s="2" t="s">
        <v>380</v>
      </c>
      <c r="D44" s="2" t="s">
        <v>91</v>
      </c>
      <c r="E44" s="2" t="s">
        <v>381</v>
      </c>
      <c r="F44" s="1" t="s">
        <v>388</v>
      </c>
      <c r="G44" s="3" t="s">
        <v>389</v>
      </c>
      <c r="H44" s="2" t="s">
        <v>270</v>
      </c>
      <c r="I44" s="2" t="s">
        <v>177</v>
      </c>
      <c r="J44" s="2" t="s">
        <v>390</v>
      </c>
      <c r="K44" s="1" t="s">
        <v>32</v>
      </c>
      <c r="M44" s="1" t="s">
        <v>48</v>
      </c>
      <c r="N44" s="5" t="s">
        <v>391</v>
      </c>
      <c r="O44" s="2" t="s">
        <v>273</v>
      </c>
      <c r="P44" s="2" t="s">
        <v>392</v>
      </c>
      <c r="Q44" s="1" t="s">
        <v>38</v>
      </c>
      <c r="R44" s="2" t="s">
        <v>52</v>
      </c>
      <c r="S44" s="6" t="s">
        <v>53</v>
      </c>
      <c r="T44" s="1" t="s">
        <v>54</v>
      </c>
      <c r="U44" s="2" t="s">
        <v>55</v>
      </c>
      <c r="V44" s="1" t="s">
        <v>43</v>
      </c>
      <c r="W44" s="1" t="n">
        <v>2017</v>
      </c>
      <c r="X44" s="1" t="n">
        <v>2023</v>
      </c>
    </row>
    <row r="45" customFormat="false" ht="15.75" hidden="false" customHeight="false" outlineLevel="0" collapsed="false">
      <c r="A45" s="2" t="n">
        <v>44</v>
      </c>
      <c r="B45" s="2" t="s">
        <v>25</v>
      </c>
      <c r="C45" s="2" t="s">
        <v>380</v>
      </c>
      <c r="D45" s="2" t="s">
        <v>91</v>
      </c>
      <c r="E45" s="2" t="s">
        <v>381</v>
      </c>
      <c r="F45" s="2" t="s">
        <v>393</v>
      </c>
      <c r="G45" s="4" t="s">
        <v>394</v>
      </c>
      <c r="H45" s="2" t="s">
        <v>395</v>
      </c>
      <c r="I45" s="2" t="s">
        <v>113</v>
      </c>
      <c r="K45" s="2" t="s">
        <v>32</v>
      </c>
      <c r="L45" s="2" t="s">
        <v>396</v>
      </c>
      <c r="N45" s="7" t="s">
        <v>397</v>
      </c>
      <c r="O45" s="2" t="s">
        <v>398</v>
      </c>
      <c r="P45" s="2" t="s">
        <v>399</v>
      </c>
      <c r="Q45" s="2" t="s">
        <v>38</v>
      </c>
      <c r="R45" s="2" t="s">
        <v>400</v>
      </c>
      <c r="S45" s="8" t="s">
        <v>401</v>
      </c>
      <c r="T45" s="2" t="s">
        <v>41</v>
      </c>
      <c r="U45" s="2" t="s">
        <v>198</v>
      </c>
      <c r="V45" s="2" t="s">
        <v>43</v>
      </c>
      <c r="W45" s="2" t="n">
        <v>1984</v>
      </c>
      <c r="X45" s="2" t="n">
        <v>2023</v>
      </c>
    </row>
    <row r="46" customFormat="false" ht="15.75" hidden="false" customHeight="false" outlineLevel="0" collapsed="false">
      <c r="A46" s="2" t="n">
        <v>45</v>
      </c>
      <c r="B46" s="2" t="s">
        <v>25</v>
      </c>
      <c r="C46" s="2" t="s">
        <v>380</v>
      </c>
      <c r="D46" s="2" t="s">
        <v>91</v>
      </c>
      <c r="E46" s="2" t="s">
        <v>381</v>
      </c>
      <c r="F46" s="2" t="s">
        <v>402</v>
      </c>
      <c r="G46" s="4" t="s">
        <v>403</v>
      </c>
      <c r="H46" s="2" t="s">
        <v>404</v>
      </c>
      <c r="I46" s="2" t="s">
        <v>405</v>
      </c>
      <c r="K46" s="2" t="s">
        <v>32</v>
      </c>
      <c r="L46" s="2" t="s">
        <v>406</v>
      </c>
      <c r="M46" s="1" t="s">
        <v>48</v>
      </c>
      <c r="N46" s="7" t="s">
        <v>407</v>
      </c>
      <c r="O46" s="2" t="s">
        <v>408</v>
      </c>
      <c r="P46" s="2" t="s">
        <v>409</v>
      </c>
      <c r="Q46" s="2" t="s">
        <v>38</v>
      </c>
      <c r="R46" s="2" t="s">
        <v>39</v>
      </c>
      <c r="S46" s="8" t="s">
        <v>40</v>
      </c>
      <c r="T46" s="2" t="s">
        <v>69</v>
      </c>
      <c r="U46" s="2" t="s">
        <v>69</v>
      </c>
      <c r="V46" s="2" t="s">
        <v>43</v>
      </c>
      <c r="W46" s="2" t="n">
        <v>2000</v>
      </c>
      <c r="X46" s="2" t="n">
        <v>2022</v>
      </c>
    </row>
    <row r="47" customFormat="false" ht="15.75" hidden="false" customHeight="false" outlineLevel="0" collapsed="false">
      <c r="A47" s="2" t="n">
        <v>46</v>
      </c>
      <c r="B47" s="1" t="s">
        <v>25</v>
      </c>
      <c r="C47" s="2" t="s">
        <v>26</v>
      </c>
      <c r="D47" s="1" t="s">
        <v>410</v>
      </c>
      <c r="E47" s="2" t="s">
        <v>411</v>
      </c>
      <c r="F47" s="1" t="s">
        <v>412</v>
      </c>
      <c r="G47" s="4" t="s">
        <v>413</v>
      </c>
      <c r="H47" s="2"/>
      <c r="I47" s="2"/>
      <c r="J47" s="2" t="s">
        <v>55</v>
      </c>
      <c r="K47" s="2" t="s">
        <v>32</v>
      </c>
      <c r="L47" s="2" t="s">
        <v>414</v>
      </c>
      <c r="M47" s="1" t="s">
        <v>33</v>
      </c>
      <c r="N47" s="5" t="s">
        <v>202</v>
      </c>
      <c r="O47" s="2" t="s">
        <v>415</v>
      </c>
      <c r="P47" s="2" t="s">
        <v>416</v>
      </c>
      <c r="Q47" s="2" t="s">
        <v>379</v>
      </c>
      <c r="R47" s="2" t="s">
        <v>67</v>
      </c>
      <c r="S47" s="6" t="s">
        <v>68</v>
      </c>
      <c r="T47" s="1" t="s">
        <v>54</v>
      </c>
      <c r="U47" s="2" t="s">
        <v>55</v>
      </c>
      <c r="V47" s="1" t="s">
        <v>79</v>
      </c>
      <c r="W47" s="1" t="n">
        <v>2010</v>
      </c>
      <c r="X47" s="1" t="n">
        <v>2010</v>
      </c>
    </row>
    <row r="48" customFormat="false" ht="15.75" hidden="false" customHeight="false" outlineLevel="0" collapsed="false">
      <c r="A48" s="2" t="n">
        <v>47</v>
      </c>
      <c r="B48" s="1" t="s">
        <v>25</v>
      </c>
      <c r="C48" s="2" t="s">
        <v>26</v>
      </c>
      <c r="D48" s="1" t="s">
        <v>410</v>
      </c>
      <c r="E48" s="2" t="s">
        <v>411</v>
      </c>
      <c r="F48" s="2" t="s">
        <v>417</v>
      </c>
      <c r="G48" s="4" t="s">
        <v>418</v>
      </c>
      <c r="H48" s="2" t="s">
        <v>419</v>
      </c>
      <c r="I48" s="2" t="s">
        <v>420</v>
      </c>
      <c r="J48" s="2"/>
      <c r="K48" s="1" t="s">
        <v>32</v>
      </c>
      <c r="L48" s="1" t="s">
        <v>75</v>
      </c>
      <c r="M48" s="1" t="s">
        <v>146</v>
      </c>
      <c r="N48" s="5" t="s">
        <v>421</v>
      </c>
      <c r="O48" s="2" t="s">
        <v>422</v>
      </c>
      <c r="P48" s="2" t="s">
        <v>423</v>
      </c>
      <c r="Q48" s="1" t="s">
        <v>38</v>
      </c>
      <c r="R48" s="2" t="s">
        <v>39</v>
      </c>
      <c r="S48" s="6" t="s">
        <v>40</v>
      </c>
      <c r="T48" s="1" t="s">
        <v>69</v>
      </c>
      <c r="U48" s="1" t="s">
        <v>69</v>
      </c>
      <c r="V48" s="1" t="s">
        <v>79</v>
      </c>
      <c r="W48" s="2" t="n">
        <v>2018</v>
      </c>
      <c r="X48" s="1" t="n">
        <v>2018</v>
      </c>
    </row>
    <row r="49" customFormat="false" ht="15.75" hidden="false" customHeight="false" outlineLevel="0" collapsed="false">
      <c r="A49" s="2" t="n">
        <v>48</v>
      </c>
      <c r="B49" s="2" t="s">
        <v>25</v>
      </c>
      <c r="C49" s="2" t="s">
        <v>26</v>
      </c>
      <c r="D49" s="2" t="s">
        <v>410</v>
      </c>
      <c r="E49" s="2" t="s">
        <v>411</v>
      </c>
      <c r="F49" s="2" t="s">
        <v>424</v>
      </c>
      <c r="G49" s="4" t="s">
        <v>425</v>
      </c>
      <c r="H49" s="2" t="s">
        <v>426</v>
      </c>
      <c r="I49" s="2" t="s">
        <v>427</v>
      </c>
      <c r="K49" s="2" t="s">
        <v>32</v>
      </c>
      <c r="L49" s="2" t="s">
        <v>428</v>
      </c>
      <c r="M49" s="1" t="s">
        <v>48</v>
      </c>
      <c r="N49" s="7" t="s">
        <v>429</v>
      </c>
      <c r="O49" s="2" t="s">
        <v>430</v>
      </c>
      <c r="P49" s="2" t="s">
        <v>431</v>
      </c>
      <c r="R49" s="2" t="s">
        <v>108</v>
      </c>
      <c r="S49" s="8" t="s">
        <v>109</v>
      </c>
      <c r="T49" s="2" t="s">
        <v>69</v>
      </c>
      <c r="U49" s="2" t="s">
        <v>69</v>
      </c>
      <c r="V49" s="2" t="s">
        <v>79</v>
      </c>
      <c r="W49" s="2" t="n">
        <v>2010</v>
      </c>
      <c r="X49" s="2" t="n">
        <v>2010</v>
      </c>
    </row>
    <row r="50" customFormat="false" ht="15.75" hidden="false" customHeight="false" outlineLevel="0" collapsed="false">
      <c r="A50" s="2" t="n">
        <v>49</v>
      </c>
      <c r="B50" s="2" t="s">
        <v>25</v>
      </c>
      <c r="C50" s="2" t="s">
        <v>26</v>
      </c>
      <c r="D50" s="2" t="s">
        <v>410</v>
      </c>
      <c r="E50" s="2" t="s">
        <v>411</v>
      </c>
      <c r="F50" s="2" t="s">
        <v>432</v>
      </c>
      <c r="G50" s="4" t="s">
        <v>433</v>
      </c>
      <c r="H50" s="2" t="s">
        <v>434</v>
      </c>
      <c r="I50" s="2" t="s">
        <v>45</v>
      </c>
      <c r="K50" s="2" t="s">
        <v>32</v>
      </c>
      <c r="L50" s="2" t="s">
        <v>435</v>
      </c>
      <c r="M50" s="1" t="s">
        <v>48</v>
      </c>
      <c r="N50" s="11" t="s">
        <v>436</v>
      </c>
      <c r="O50" s="2" t="s">
        <v>437</v>
      </c>
      <c r="P50" s="2" t="s">
        <v>438</v>
      </c>
      <c r="Q50" s="2" t="s">
        <v>38</v>
      </c>
      <c r="R50" s="2" t="s">
        <v>52</v>
      </c>
      <c r="S50" s="8" t="s">
        <v>53</v>
      </c>
      <c r="T50" s="2" t="s">
        <v>99</v>
      </c>
      <c r="U50" s="2" t="s">
        <v>99</v>
      </c>
      <c r="V50" s="2" t="s">
        <v>43</v>
      </c>
      <c r="W50" s="2" t="n">
        <v>2018</v>
      </c>
      <c r="X50" s="2" t="n">
        <v>2023</v>
      </c>
    </row>
    <row r="51" customFormat="false" ht="15.75" hidden="false" customHeight="false" outlineLevel="0" collapsed="false">
      <c r="A51" s="2" t="n">
        <v>50</v>
      </c>
      <c r="B51" s="2" t="s">
        <v>25</v>
      </c>
      <c r="C51" s="2" t="s">
        <v>26</v>
      </c>
      <c r="D51" s="2" t="s">
        <v>410</v>
      </c>
      <c r="E51" s="2" t="s">
        <v>411</v>
      </c>
      <c r="F51" s="2" t="s">
        <v>439</v>
      </c>
      <c r="G51" s="4" t="s">
        <v>440</v>
      </c>
      <c r="H51" s="2" t="s">
        <v>255</v>
      </c>
      <c r="I51" s="2" t="s">
        <v>73</v>
      </c>
      <c r="K51" s="2" t="s">
        <v>32</v>
      </c>
      <c r="L51" s="2" t="s">
        <v>441</v>
      </c>
      <c r="M51" s="1" t="s">
        <v>48</v>
      </c>
      <c r="N51" s="7" t="s">
        <v>442</v>
      </c>
      <c r="O51" s="2" t="s">
        <v>443</v>
      </c>
      <c r="P51" s="2" t="s">
        <v>444</v>
      </c>
      <c r="Q51" s="2" t="s">
        <v>38</v>
      </c>
      <c r="R51" s="2" t="s">
        <v>400</v>
      </c>
      <c r="S51" s="8" t="s">
        <v>401</v>
      </c>
      <c r="T51" s="2" t="s">
        <v>69</v>
      </c>
      <c r="U51" s="2" t="s">
        <v>69</v>
      </c>
      <c r="V51" s="2" t="s">
        <v>43</v>
      </c>
      <c r="W51" s="2" t="n">
        <v>2001</v>
      </c>
      <c r="X51" s="2" t="n">
        <v>2019</v>
      </c>
    </row>
    <row r="52" customFormat="false" ht="15.75" hidden="false" customHeight="false" outlineLevel="0" collapsed="false">
      <c r="A52" s="2" t="n">
        <v>51</v>
      </c>
      <c r="B52" s="2" t="s">
        <v>25</v>
      </c>
      <c r="C52" s="2" t="s">
        <v>26</v>
      </c>
      <c r="D52" s="2" t="s">
        <v>410</v>
      </c>
      <c r="E52" s="2" t="s">
        <v>411</v>
      </c>
      <c r="F52" s="2" t="s">
        <v>445</v>
      </c>
      <c r="G52" s="4" t="s">
        <v>446</v>
      </c>
      <c r="H52" s="2" t="s">
        <v>191</v>
      </c>
      <c r="I52" s="2" t="s">
        <v>447</v>
      </c>
      <c r="K52" s="2" t="s">
        <v>32</v>
      </c>
      <c r="M52" s="1" t="s">
        <v>48</v>
      </c>
      <c r="N52" s="7" t="s">
        <v>448</v>
      </c>
      <c r="O52" s="2" t="s">
        <v>449</v>
      </c>
      <c r="P52" s="2" t="s">
        <v>450</v>
      </c>
      <c r="Q52" s="2" t="s">
        <v>451</v>
      </c>
      <c r="R52" s="2" t="s">
        <v>39</v>
      </c>
      <c r="S52" s="8" t="s">
        <v>40</v>
      </c>
      <c r="T52" s="2" t="s">
        <v>41</v>
      </c>
      <c r="U52" s="2" t="s">
        <v>198</v>
      </c>
      <c r="V52" s="2" t="s">
        <v>79</v>
      </c>
      <c r="W52" s="2" t="n">
        <v>2010</v>
      </c>
      <c r="X52" s="2" t="n">
        <v>2010</v>
      </c>
      <c r="Y52" s="7" t="s">
        <v>452</v>
      </c>
    </row>
    <row r="53" customFormat="false" ht="15.75" hidden="false" customHeight="false" outlineLevel="0" collapsed="false">
      <c r="A53" s="2" t="n">
        <v>52</v>
      </c>
      <c r="B53" s="2" t="s">
        <v>25</v>
      </c>
      <c r="C53" s="2" t="s">
        <v>26</v>
      </c>
      <c r="D53" s="2" t="s">
        <v>410</v>
      </c>
      <c r="E53" s="2" t="s">
        <v>411</v>
      </c>
      <c r="F53" s="2" t="s">
        <v>453</v>
      </c>
      <c r="G53" s="4" t="s">
        <v>454</v>
      </c>
      <c r="I53" s="2" t="s">
        <v>177</v>
      </c>
      <c r="K53" s="2" t="s">
        <v>32</v>
      </c>
      <c r="M53" s="1" t="s">
        <v>48</v>
      </c>
      <c r="N53" s="7" t="s">
        <v>455</v>
      </c>
      <c r="O53" s="2" t="s">
        <v>456</v>
      </c>
      <c r="P53" s="2" t="s">
        <v>457</v>
      </c>
      <c r="Q53" s="2" t="s">
        <v>458</v>
      </c>
      <c r="R53" s="2" t="s">
        <v>52</v>
      </c>
      <c r="S53" s="8" t="s">
        <v>53</v>
      </c>
      <c r="T53" s="2" t="s">
        <v>69</v>
      </c>
      <c r="U53" s="2" t="s">
        <v>69</v>
      </c>
      <c r="V53" s="2" t="s">
        <v>79</v>
      </c>
      <c r="W53" s="2" t="n">
        <v>2025</v>
      </c>
      <c r="X53" s="2" t="n">
        <v>2025</v>
      </c>
    </row>
    <row r="54" customFormat="false" ht="15.75" hidden="false" customHeight="false" outlineLevel="0" collapsed="false">
      <c r="A54" s="2" t="n">
        <v>53</v>
      </c>
      <c r="B54" s="2" t="s">
        <v>25</v>
      </c>
      <c r="C54" s="2" t="s">
        <v>26</v>
      </c>
      <c r="D54" s="2" t="s">
        <v>410</v>
      </c>
      <c r="E54" s="2" t="s">
        <v>411</v>
      </c>
      <c r="F54" s="2" t="s">
        <v>459</v>
      </c>
      <c r="G54" s="4" t="s">
        <v>460</v>
      </c>
      <c r="H54" s="2" t="s">
        <v>461</v>
      </c>
      <c r="K54" s="2" t="s">
        <v>32</v>
      </c>
      <c r="L54" s="2" t="s">
        <v>462</v>
      </c>
      <c r="M54" s="2" t="s">
        <v>33</v>
      </c>
      <c r="N54" s="7" t="s">
        <v>463</v>
      </c>
      <c r="O54" s="2" t="s">
        <v>464</v>
      </c>
      <c r="P54" s="2" t="s">
        <v>465</v>
      </c>
      <c r="Q54" s="2" t="s">
        <v>38</v>
      </c>
      <c r="R54" s="2" t="s">
        <v>108</v>
      </c>
      <c r="S54" s="8" t="s">
        <v>109</v>
      </c>
      <c r="T54" s="2" t="s">
        <v>41</v>
      </c>
      <c r="U54" s="2" t="s">
        <v>198</v>
      </c>
      <c r="V54" s="2" t="s">
        <v>43</v>
      </c>
      <c r="W54" s="2" t="n">
        <v>1938</v>
      </c>
      <c r="X54" s="2" t="n">
        <v>2020</v>
      </c>
    </row>
    <row r="55" customFormat="false" ht="15.75" hidden="false" customHeight="false" outlineLevel="0" collapsed="false">
      <c r="A55" s="2" t="n">
        <v>54</v>
      </c>
      <c r="B55" s="2" t="s">
        <v>25</v>
      </c>
      <c r="C55" s="2" t="s">
        <v>26</v>
      </c>
      <c r="D55" s="2" t="s">
        <v>410</v>
      </c>
      <c r="E55" s="2" t="s">
        <v>411</v>
      </c>
      <c r="F55" s="2" t="s">
        <v>466</v>
      </c>
      <c r="G55" s="4" t="s">
        <v>467</v>
      </c>
      <c r="H55" s="2" t="s">
        <v>468</v>
      </c>
      <c r="I55" s="2" t="s">
        <v>73</v>
      </c>
      <c r="K55" s="2" t="s">
        <v>32</v>
      </c>
      <c r="M55" s="1" t="s">
        <v>48</v>
      </c>
      <c r="N55" s="7" t="s">
        <v>469</v>
      </c>
      <c r="O55" s="2" t="s">
        <v>470</v>
      </c>
      <c r="P55" s="2" t="s">
        <v>471</v>
      </c>
      <c r="Q55" s="2" t="s">
        <v>472</v>
      </c>
      <c r="R55" s="2" t="s">
        <v>108</v>
      </c>
      <c r="S55" s="2" t="n">
        <v>1</v>
      </c>
      <c r="T55" s="2" t="s">
        <v>69</v>
      </c>
      <c r="U55" s="2" t="s">
        <v>69</v>
      </c>
      <c r="V55" s="2" t="s">
        <v>79</v>
      </c>
      <c r="W55" s="2" t="n">
        <v>2005</v>
      </c>
      <c r="X55" s="2" t="n">
        <v>2005</v>
      </c>
    </row>
    <row r="56" customFormat="false" ht="15.75" hidden="false" customHeight="false" outlineLevel="0" collapsed="false">
      <c r="A56" s="2" t="n">
        <v>55</v>
      </c>
      <c r="B56" s="1" t="s">
        <v>25</v>
      </c>
      <c r="C56" s="2" t="s">
        <v>57</v>
      </c>
      <c r="D56" s="1" t="s">
        <v>410</v>
      </c>
      <c r="E56" s="2" t="s">
        <v>411</v>
      </c>
      <c r="F56" s="1" t="s">
        <v>473</v>
      </c>
      <c r="G56" s="4" t="s">
        <v>474</v>
      </c>
      <c r="H56" s="2"/>
      <c r="I56" s="2"/>
      <c r="J56" s="2" t="s">
        <v>475</v>
      </c>
      <c r="K56" s="2" t="s">
        <v>233</v>
      </c>
      <c r="L56" s="1" t="s">
        <v>476</v>
      </c>
      <c r="M56" s="1" t="s">
        <v>33</v>
      </c>
      <c r="N56" s="7" t="s">
        <v>477</v>
      </c>
      <c r="O56" s="2" t="s">
        <v>478</v>
      </c>
      <c r="P56" s="2" t="s">
        <v>479</v>
      </c>
      <c r="Q56" s="1" t="s">
        <v>237</v>
      </c>
      <c r="R56" s="1" t="s">
        <v>238</v>
      </c>
      <c r="S56" s="6" t="s">
        <v>239</v>
      </c>
      <c r="T56" s="1" t="s">
        <v>54</v>
      </c>
      <c r="U56" s="2" t="s">
        <v>55</v>
      </c>
      <c r="V56" s="1" t="s">
        <v>43</v>
      </c>
      <c r="W56" s="1" t="n">
        <v>2012</v>
      </c>
      <c r="X56" s="1" t="n">
        <v>2021</v>
      </c>
    </row>
    <row r="57" customFormat="false" ht="15.75" hidden="false" customHeight="false" outlineLevel="0" collapsed="false">
      <c r="A57" s="2" t="n">
        <v>56</v>
      </c>
      <c r="B57" s="1" t="s">
        <v>25</v>
      </c>
      <c r="C57" s="2" t="s">
        <v>57</v>
      </c>
      <c r="D57" s="1" t="s">
        <v>410</v>
      </c>
      <c r="E57" s="2" t="s">
        <v>411</v>
      </c>
      <c r="F57" s="1" t="s">
        <v>480</v>
      </c>
      <c r="G57" s="4" t="s">
        <v>481</v>
      </c>
      <c r="H57" s="2"/>
      <c r="I57" s="2"/>
      <c r="J57" s="2" t="s">
        <v>482</v>
      </c>
      <c r="K57" s="2" t="s">
        <v>233</v>
      </c>
      <c r="L57" s="1"/>
      <c r="M57" s="1" t="s">
        <v>48</v>
      </c>
      <c r="N57" s="5" t="s">
        <v>483</v>
      </c>
      <c r="O57" s="2" t="s">
        <v>484</v>
      </c>
      <c r="P57" s="2" t="s">
        <v>485</v>
      </c>
      <c r="Q57" s="1" t="s">
        <v>237</v>
      </c>
      <c r="R57" s="1" t="s">
        <v>238</v>
      </c>
      <c r="S57" s="6" t="s">
        <v>239</v>
      </c>
      <c r="T57" s="1" t="s">
        <v>69</v>
      </c>
      <c r="U57" s="1" t="s">
        <v>69</v>
      </c>
      <c r="V57" s="2" t="s">
        <v>43</v>
      </c>
      <c r="W57" s="1" t="n">
        <v>1985</v>
      </c>
      <c r="X57" s="2" t="n">
        <v>2024</v>
      </c>
    </row>
    <row r="58" customFormat="false" ht="15.75" hidden="false" customHeight="false" outlineLevel="0" collapsed="false">
      <c r="A58" s="2" t="n">
        <v>57</v>
      </c>
      <c r="B58" s="1" t="s">
        <v>25</v>
      </c>
      <c r="C58" s="2" t="s">
        <v>57</v>
      </c>
      <c r="D58" s="1" t="s">
        <v>410</v>
      </c>
      <c r="E58" s="2" t="s">
        <v>411</v>
      </c>
      <c r="F58" s="2" t="s">
        <v>486</v>
      </c>
      <c r="G58" s="4" t="s">
        <v>487</v>
      </c>
      <c r="H58" s="2"/>
      <c r="I58" s="2"/>
      <c r="J58" s="2" t="s">
        <v>62</v>
      </c>
      <c r="K58" s="2" t="s">
        <v>233</v>
      </c>
      <c r="L58" s="1" t="s">
        <v>488</v>
      </c>
      <c r="M58" s="1" t="s">
        <v>48</v>
      </c>
      <c r="N58" s="5" t="s">
        <v>489</v>
      </c>
      <c r="O58" s="2" t="s">
        <v>490</v>
      </c>
      <c r="P58" s="2" t="s">
        <v>491</v>
      </c>
      <c r="Q58" s="1" t="s">
        <v>237</v>
      </c>
      <c r="R58" s="1" t="s">
        <v>238</v>
      </c>
      <c r="S58" s="6" t="s">
        <v>239</v>
      </c>
      <c r="T58" s="1" t="s">
        <v>69</v>
      </c>
      <c r="U58" s="1" t="s">
        <v>69</v>
      </c>
      <c r="V58" s="2" t="s">
        <v>43</v>
      </c>
      <c r="W58" s="2" t="n">
        <v>1961</v>
      </c>
      <c r="X58" s="2" t="n">
        <v>2023</v>
      </c>
    </row>
    <row r="59" customFormat="false" ht="15.75" hidden="false" customHeight="false" outlineLevel="0" collapsed="false">
      <c r="A59" s="2" t="n">
        <v>58</v>
      </c>
      <c r="B59" s="1" t="s">
        <v>25</v>
      </c>
      <c r="C59" s="2" t="s">
        <v>57</v>
      </c>
      <c r="D59" s="1" t="s">
        <v>410</v>
      </c>
      <c r="E59" s="2" t="s">
        <v>411</v>
      </c>
      <c r="F59" s="1" t="s">
        <v>492</v>
      </c>
      <c r="G59" s="4" t="s">
        <v>493</v>
      </c>
      <c r="H59" s="2"/>
      <c r="I59" s="2"/>
      <c r="J59" s="2" t="s">
        <v>62</v>
      </c>
      <c r="K59" s="2" t="s">
        <v>233</v>
      </c>
      <c r="L59" s="1" t="s">
        <v>488</v>
      </c>
      <c r="M59" s="1" t="s">
        <v>48</v>
      </c>
      <c r="N59" s="5" t="s">
        <v>494</v>
      </c>
      <c r="O59" s="2" t="s">
        <v>495</v>
      </c>
      <c r="P59" s="2" t="s">
        <v>496</v>
      </c>
      <c r="Q59" s="1" t="s">
        <v>237</v>
      </c>
      <c r="R59" s="1" t="s">
        <v>238</v>
      </c>
      <c r="S59" s="6" t="s">
        <v>239</v>
      </c>
      <c r="T59" s="1" t="s">
        <v>69</v>
      </c>
      <c r="U59" s="1" t="s">
        <v>69</v>
      </c>
      <c r="V59" s="1" t="s">
        <v>79</v>
      </c>
      <c r="W59" s="1" t="n">
        <v>2000</v>
      </c>
      <c r="X59" s="1" t="n">
        <v>2000</v>
      </c>
    </row>
    <row r="60" customFormat="false" ht="15.75" hidden="false" customHeight="false" outlineLevel="0" collapsed="false">
      <c r="A60" s="2" t="n">
        <v>59</v>
      </c>
      <c r="B60" s="1" t="s">
        <v>25</v>
      </c>
      <c r="C60" s="2" t="s">
        <v>57</v>
      </c>
      <c r="D60" s="1" t="s">
        <v>410</v>
      </c>
      <c r="E60" s="2" t="s">
        <v>411</v>
      </c>
      <c r="F60" s="1" t="s">
        <v>497</v>
      </c>
      <c r="G60" s="3" t="s">
        <v>498</v>
      </c>
      <c r="H60" s="2" t="s">
        <v>499</v>
      </c>
      <c r="I60" s="2" t="s">
        <v>73</v>
      </c>
      <c r="J60" s="2" t="s">
        <v>500</v>
      </c>
      <c r="K60" s="1" t="s">
        <v>32</v>
      </c>
      <c r="L60" s="1" t="s">
        <v>501</v>
      </c>
      <c r="M60" s="1" t="s">
        <v>48</v>
      </c>
      <c r="N60" s="5" t="s">
        <v>502</v>
      </c>
      <c r="O60" s="2" t="s">
        <v>503</v>
      </c>
      <c r="P60" s="2" t="s">
        <v>504</v>
      </c>
      <c r="Q60" s="1" t="s">
        <v>38</v>
      </c>
      <c r="R60" s="2" t="s">
        <v>139</v>
      </c>
      <c r="S60" s="6" t="s">
        <v>140</v>
      </c>
      <c r="T60" s="1" t="s">
        <v>69</v>
      </c>
      <c r="U60" s="1" t="s">
        <v>69</v>
      </c>
      <c r="V60" s="1" t="s">
        <v>79</v>
      </c>
      <c r="W60" s="1" t="n">
        <v>2020</v>
      </c>
      <c r="X60" s="1" t="n">
        <v>2020</v>
      </c>
    </row>
    <row r="61" customFormat="false" ht="15.75" hidden="false" customHeight="false" outlineLevel="0" collapsed="false">
      <c r="A61" s="2" t="n">
        <v>60</v>
      </c>
      <c r="B61" s="2" t="s">
        <v>25</v>
      </c>
      <c r="C61" s="2" t="s">
        <v>57</v>
      </c>
      <c r="D61" s="2" t="s">
        <v>410</v>
      </c>
      <c r="E61" s="2" t="s">
        <v>411</v>
      </c>
      <c r="F61" s="2" t="s">
        <v>505</v>
      </c>
      <c r="G61" s="4" t="s">
        <v>506</v>
      </c>
      <c r="H61" s="2" t="s">
        <v>507</v>
      </c>
      <c r="I61" s="2"/>
      <c r="J61" s="2" t="s">
        <v>62</v>
      </c>
      <c r="K61" s="2" t="s">
        <v>32</v>
      </c>
      <c r="M61" s="1" t="s">
        <v>48</v>
      </c>
      <c r="N61" s="7" t="s">
        <v>508</v>
      </c>
      <c r="O61" s="2" t="s">
        <v>509</v>
      </c>
      <c r="P61" s="2" t="s">
        <v>510</v>
      </c>
      <c r="R61" s="2" t="s">
        <v>67</v>
      </c>
      <c r="S61" s="8" t="s">
        <v>68</v>
      </c>
      <c r="T61" s="2" t="s">
        <v>69</v>
      </c>
      <c r="U61" s="2" t="s">
        <v>69</v>
      </c>
      <c r="V61" s="2" t="s">
        <v>79</v>
      </c>
      <c r="W61" s="2" t="n">
        <v>2000</v>
      </c>
      <c r="X61" s="2" t="n">
        <v>2000</v>
      </c>
    </row>
    <row r="62" customFormat="false" ht="15.75" hidden="false" customHeight="false" outlineLevel="0" collapsed="false">
      <c r="A62" s="2" t="n">
        <v>61</v>
      </c>
      <c r="B62" s="2" t="s">
        <v>25</v>
      </c>
      <c r="C62" s="2" t="s">
        <v>57</v>
      </c>
      <c r="D62" s="2" t="s">
        <v>410</v>
      </c>
      <c r="E62" s="2" t="s">
        <v>411</v>
      </c>
      <c r="F62" s="2" t="s">
        <v>511</v>
      </c>
      <c r="G62" s="4" t="s">
        <v>512</v>
      </c>
      <c r="H62" s="2"/>
      <c r="I62" s="2"/>
      <c r="J62" s="2" t="s">
        <v>475</v>
      </c>
      <c r="K62" s="2" t="s">
        <v>32</v>
      </c>
      <c r="M62" s="1" t="s">
        <v>48</v>
      </c>
      <c r="N62" s="7" t="s">
        <v>513</v>
      </c>
      <c r="O62" s="2" t="s">
        <v>514</v>
      </c>
      <c r="P62" s="2" t="s">
        <v>515</v>
      </c>
      <c r="Q62" s="2" t="s">
        <v>38</v>
      </c>
      <c r="R62" s="2" t="s">
        <v>222</v>
      </c>
      <c r="S62" s="8" t="s">
        <v>223</v>
      </c>
      <c r="T62" s="2" t="s">
        <v>54</v>
      </c>
      <c r="U62" s="2" t="s">
        <v>55</v>
      </c>
      <c r="V62" s="2" t="s">
        <v>79</v>
      </c>
      <c r="W62" s="2" t="n">
        <v>2022</v>
      </c>
      <c r="X62" s="2" t="n">
        <v>2022</v>
      </c>
    </row>
    <row r="63" customFormat="false" ht="15.75" hidden="false" customHeight="false" outlineLevel="0" collapsed="false">
      <c r="A63" s="2" t="n">
        <v>62</v>
      </c>
      <c r="B63" s="2" t="s">
        <v>25</v>
      </c>
      <c r="C63" s="2" t="s">
        <v>57</v>
      </c>
      <c r="D63" s="2" t="s">
        <v>410</v>
      </c>
      <c r="E63" s="2" t="s">
        <v>411</v>
      </c>
      <c r="F63" s="2" t="s">
        <v>516</v>
      </c>
      <c r="G63" s="4" t="s">
        <v>517</v>
      </c>
      <c r="H63" s="2" t="s">
        <v>518</v>
      </c>
      <c r="J63" s="2" t="s">
        <v>519</v>
      </c>
      <c r="K63" s="2" t="s">
        <v>32</v>
      </c>
      <c r="M63" s="1" t="s">
        <v>48</v>
      </c>
      <c r="N63" s="7" t="s">
        <v>520</v>
      </c>
      <c r="O63" s="2" t="s">
        <v>521</v>
      </c>
      <c r="P63" s="2" t="s">
        <v>522</v>
      </c>
      <c r="Q63" s="2" t="s">
        <v>523</v>
      </c>
      <c r="R63" s="2" t="s">
        <v>139</v>
      </c>
      <c r="S63" s="8" t="s">
        <v>140</v>
      </c>
      <c r="T63" s="2" t="s">
        <v>69</v>
      </c>
      <c r="U63" s="2" t="s">
        <v>69</v>
      </c>
      <c r="V63" s="2" t="s">
        <v>79</v>
      </c>
      <c r="W63" s="2" t="n">
        <v>2005</v>
      </c>
      <c r="X63" s="2" t="n">
        <v>2005</v>
      </c>
    </row>
    <row r="64" customFormat="false" ht="15.75" hidden="false" customHeight="false" outlineLevel="0" collapsed="false">
      <c r="A64" s="2" t="n">
        <v>63</v>
      </c>
      <c r="B64" s="2" t="s">
        <v>25</v>
      </c>
      <c r="C64" s="2" t="s">
        <v>57</v>
      </c>
      <c r="D64" s="2" t="s">
        <v>410</v>
      </c>
      <c r="E64" s="2" t="s">
        <v>411</v>
      </c>
      <c r="F64" s="2" t="s">
        <v>524</v>
      </c>
      <c r="G64" s="4" t="s">
        <v>524</v>
      </c>
      <c r="I64" s="2" t="s">
        <v>177</v>
      </c>
      <c r="K64" s="2" t="s">
        <v>32</v>
      </c>
      <c r="M64" s="2" t="s">
        <v>48</v>
      </c>
      <c r="N64" s="7" t="s">
        <v>525</v>
      </c>
      <c r="O64" s="2" t="s">
        <v>273</v>
      </c>
      <c r="P64" s="2" t="s">
        <v>526</v>
      </c>
      <c r="Q64" s="2" t="s">
        <v>38</v>
      </c>
      <c r="R64" s="2" t="s">
        <v>52</v>
      </c>
      <c r="S64" s="8" t="s">
        <v>53</v>
      </c>
      <c r="T64" s="2" t="s">
        <v>54</v>
      </c>
      <c r="U64" s="2" t="s">
        <v>55</v>
      </c>
      <c r="V64" s="2" t="s">
        <v>43</v>
      </c>
      <c r="W64" s="2" t="n">
        <v>2017</v>
      </c>
      <c r="X64" s="2" t="n">
        <v>2023</v>
      </c>
    </row>
    <row r="65" customFormat="false" ht="15.75" hidden="false" customHeight="false" outlineLevel="0" collapsed="false">
      <c r="A65" s="2" t="n">
        <v>64</v>
      </c>
      <c r="B65" s="2" t="s">
        <v>25</v>
      </c>
      <c r="C65" s="2" t="s">
        <v>57</v>
      </c>
      <c r="D65" s="2" t="s">
        <v>410</v>
      </c>
      <c r="E65" s="2" t="s">
        <v>411</v>
      </c>
      <c r="F65" s="2" t="s">
        <v>527</v>
      </c>
      <c r="G65" s="4" t="s">
        <v>528</v>
      </c>
      <c r="J65" s="2" t="s">
        <v>475</v>
      </c>
      <c r="K65" s="2" t="s">
        <v>233</v>
      </c>
      <c r="M65" s="2" t="s">
        <v>48</v>
      </c>
      <c r="N65" s="7" t="s">
        <v>529</v>
      </c>
      <c r="O65" s="2" t="s">
        <v>530</v>
      </c>
      <c r="P65" s="2" t="s">
        <v>531</v>
      </c>
      <c r="Q65" s="2" t="s">
        <v>379</v>
      </c>
      <c r="R65" s="2" t="s">
        <v>532</v>
      </c>
      <c r="S65" s="8" t="s">
        <v>297</v>
      </c>
      <c r="T65" s="2" t="s">
        <v>54</v>
      </c>
      <c r="U65" s="2" t="s">
        <v>55</v>
      </c>
      <c r="V65" s="2" t="s">
        <v>151</v>
      </c>
      <c r="W65" s="2" t="n">
        <v>2005</v>
      </c>
      <c r="X65" s="2" t="n">
        <v>2010</v>
      </c>
    </row>
    <row r="66" customFormat="false" ht="15.75" hidden="false" customHeight="false" outlineLevel="0" collapsed="false">
      <c r="A66" s="2" t="n">
        <v>65</v>
      </c>
      <c r="B66" s="2" t="s">
        <v>25</v>
      </c>
      <c r="C66" s="2" t="s">
        <v>57</v>
      </c>
      <c r="D66" s="2" t="s">
        <v>410</v>
      </c>
      <c r="E66" s="2" t="s">
        <v>411</v>
      </c>
      <c r="F66" s="2" t="s">
        <v>533</v>
      </c>
      <c r="G66" s="4" t="s">
        <v>534</v>
      </c>
      <c r="H66" s="2" t="s">
        <v>535</v>
      </c>
      <c r="I66" s="2" t="s">
        <v>73</v>
      </c>
      <c r="J66" s="2" t="s">
        <v>536</v>
      </c>
      <c r="K66" s="2" t="s">
        <v>32</v>
      </c>
      <c r="M66" s="2" t="s">
        <v>33</v>
      </c>
      <c r="N66" s="7" t="s">
        <v>537</v>
      </c>
      <c r="O66" s="2" t="s">
        <v>538</v>
      </c>
      <c r="P66" s="2" t="s">
        <v>539</v>
      </c>
      <c r="Q66" s="2" t="s">
        <v>38</v>
      </c>
      <c r="R66" s="2" t="s">
        <v>400</v>
      </c>
      <c r="S66" s="8" t="s">
        <v>401</v>
      </c>
      <c r="T66" s="2" t="s">
        <v>41</v>
      </c>
      <c r="U66" s="2" t="s">
        <v>198</v>
      </c>
      <c r="V66" s="2" t="s">
        <v>151</v>
      </c>
      <c r="W66" s="2" t="n">
        <v>2002</v>
      </c>
      <c r="X66" s="2" t="n">
        <v>2017</v>
      </c>
    </row>
    <row r="67" customFormat="false" ht="15.75" hidden="false" customHeight="true" outlineLevel="0" collapsed="false">
      <c r="A67" s="2" t="n">
        <v>66</v>
      </c>
      <c r="B67" s="1" t="s">
        <v>25</v>
      </c>
      <c r="C67" s="2" t="s">
        <v>57</v>
      </c>
      <c r="D67" s="1" t="s">
        <v>540</v>
      </c>
      <c r="E67" s="2" t="s">
        <v>541</v>
      </c>
      <c r="F67" s="1" t="s">
        <v>542</v>
      </c>
      <c r="G67" s="3" t="s">
        <v>543</v>
      </c>
      <c r="H67" s="2"/>
      <c r="I67" s="2"/>
      <c r="J67" s="2" t="s">
        <v>104</v>
      </c>
      <c r="K67" s="2" t="s">
        <v>233</v>
      </c>
      <c r="L67" s="1" t="s">
        <v>145</v>
      </c>
      <c r="M67" s="1" t="s">
        <v>48</v>
      </c>
      <c r="N67" s="5" t="s">
        <v>544</v>
      </c>
      <c r="O67" s="2" t="s">
        <v>349</v>
      </c>
      <c r="P67" s="2" t="s">
        <v>545</v>
      </c>
      <c r="Q67" s="1" t="s">
        <v>237</v>
      </c>
      <c r="R67" s="1" t="s">
        <v>238</v>
      </c>
      <c r="S67" s="6" t="s">
        <v>239</v>
      </c>
      <c r="T67" s="1" t="s">
        <v>69</v>
      </c>
      <c r="U67" s="1" t="s">
        <v>69</v>
      </c>
      <c r="V67" s="1" t="s">
        <v>43</v>
      </c>
      <c r="W67" s="1" t="n">
        <v>1961</v>
      </c>
      <c r="X67" s="1" t="n">
        <v>2023</v>
      </c>
    </row>
    <row r="68" customFormat="false" ht="15.75" hidden="false" customHeight="false" outlineLevel="0" collapsed="false">
      <c r="A68" s="2" t="n">
        <v>67</v>
      </c>
      <c r="B68" s="1" t="s">
        <v>25</v>
      </c>
      <c r="C68" s="2" t="s">
        <v>57</v>
      </c>
      <c r="D68" s="1" t="s">
        <v>540</v>
      </c>
      <c r="E68" s="2" t="s">
        <v>541</v>
      </c>
      <c r="F68" s="2" t="s">
        <v>546</v>
      </c>
      <c r="G68" s="3" t="s">
        <v>547</v>
      </c>
      <c r="H68" s="2"/>
      <c r="I68" s="2"/>
      <c r="J68" s="2" t="s">
        <v>475</v>
      </c>
      <c r="K68" s="2" t="s">
        <v>233</v>
      </c>
      <c r="M68" s="1"/>
      <c r="N68" s="5" t="s">
        <v>548</v>
      </c>
      <c r="O68" s="2" t="s">
        <v>478</v>
      </c>
      <c r="P68" s="2" t="s">
        <v>549</v>
      </c>
      <c r="R68" s="1" t="s">
        <v>238</v>
      </c>
      <c r="S68" s="6" t="s">
        <v>239</v>
      </c>
      <c r="T68" s="1" t="s">
        <v>54</v>
      </c>
      <c r="U68" s="2" t="s">
        <v>55</v>
      </c>
      <c r="V68" s="1" t="s">
        <v>79</v>
      </c>
      <c r="W68" s="2" t="n">
        <v>2010</v>
      </c>
      <c r="X68" s="2" t="n">
        <v>2023</v>
      </c>
    </row>
    <row r="69" customFormat="false" ht="15.75" hidden="false" customHeight="false" outlineLevel="0" collapsed="false">
      <c r="A69" s="2" t="n">
        <v>68</v>
      </c>
      <c r="B69" s="2" t="s">
        <v>25</v>
      </c>
      <c r="C69" s="2" t="s">
        <v>57</v>
      </c>
      <c r="D69" s="2" t="s">
        <v>540</v>
      </c>
      <c r="E69" s="2" t="s">
        <v>541</v>
      </c>
      <c r="F69" s="2" t="s">
        <v>550</v>
      </c>
      <c r="G69" s="4" t="s">
        <v>551</v>
      </c>
      <c r="H69" s="2" t="s">
        <v>552</v>
      </c>
      <c r="I69" s="2" t="s">
        <v>73</v>
      </c>
      <c r="J69" s="2" t="s">
        <v>62</v>
      </c>
      <c r="K69" s="2" t="s">
        <v>32</v>
      </c>
      <c r="M69" s="2" t="s">
        <v>48</v>
      </c>
      <c r="N69" s="7" t="s">
        <v>553</v>
      </c>
      <c r="O69" s="2" t="s">
        <v>554</v>
      </c>
      <c r="P69" s="2" t="s">
        <v>555</v>
      </c>
      <c r="Q69" s="2" t="s">
        <v>38</v>
      </c>
      <c r="R69" s="2" t="s">
        <v>67</v>
      </c>
      <c r="S69" s="8" t="s">
        <v>68</v>
      </c>
      <c r="T69" s="2" t="s">
        <v>69</v>
      </c>
      <c r="U69" s="2" t="s">
        <v>69</v>
      </c>
      <c r="V69" s="2" t="s">
        <v>281</v>
      </c>
      <c r="W69" s="2" t="n">
        <v>2005</v>
      </c>
      <c r="X69" s="2" t="n">
        <v>2015</v>
      </c>
    </row>
    <row r="70" customFormat="false" ht="15.75" hidden="false" customHeight="false" outlineLevel="0" collapsed="false">
      <c r="A70" s="2" t="n">
        <v>69</v>
      </c>
      <c r="B70" s="2" t="s">
        <v>25</v>
      </c>
      <c r="C70" s="2" t="s">
        <v>57</v>
      </c>
      <c r="D70" s="2" t="s">
        <v>540</v>
      </c>
      <c r="E70" s="2" t="s">
        <v>541</v>
      </c>
      <c r="F70" s="2" t="s">
        <v>556</v>
      </c>
      <c r="G70" s="4" t="s">
        <v>557</v>
      </c>
      <c r="H70" s="2"/>
      <c r="I70" s="2"/>
      <c r="J70" s="2" t="s">
        <v>62</v>
      </c>
      <c r="K70" s="2" t="s">
        <v>233</v>
      </c>
      <c r="M70" s="2" t="s">
        <v>48</v>
      </c>
      <c r="N70" s="7" t="s">
        <v>558</v>
      </c>
      <c r="O70" s="2" t="s">
        <v>559</v>
      </c>
      <c r="P70" s="2" t="s">
        <v>560</v>
      </c>
      <c r="Q70" s="2" t="s">
        <v>237</v>
      </c>
      <c r="R70" s="2" t="s">
        <v>238</v>
      </c>
      <c r="S70" s="8" t="s">
        <v>239</v>
      </c>
      <c r="T70" s="2" t="s">
        <v>54</v>
      </c>
      <c r="U70" s="2" t="s">
        <v>55</v>
      </c>
      <c r="V70" s="2" t="s">
        <v>246</v>
      </c>
      <c r="W70" s="2" t="n">
        <v>2000</v>
      </c>
      <c r="X70" s="2" t="n">
        <v>2020</v>
      </c>
    </row>
    <row r="71" customFormat="false" ht="15.75" hidden="false" customHeight="false" outlineLevel="0" collapsed="false">
      <c r="A71" s="2" t="n">
        <v>70</v>
      </c>
      <c r="B71" s="2" t="s">
        <v>25</v>
      </c>
      <c r="C71" s="2" t="s">
        <v>57</v>
      </c>
      <c r="D71" s="2" t="s">
        <v>540</v>
      </c>
      <c r="E71" s="2" t="s">
        <v>541</v>
      </c>
      <c r="F71" s="2" t="s">
        <v>561</v>
      </c>
      <c r="G71" s="4" t="s">
        <v>562</v>
      </c>
      <c r="H71" s="2" t="s">
        <v>563</v>
      </c>
      <c r="I71" s="2" t="s">
        <v>564</v>
      </c>
      <c r="J71" s="2" t="s">
        <v>62</v>
      </c>
      <c r="K71" s="2" t="s">
        <v>32</v>
      </c>
      <c r="L71" s="2" t="s">
        <v>565</v>
      </c>
      <c r="M71" s="1" t="s">
        <v>48</v>
      </c>
      <c r="N71" s="7" t="s">
        <v>566</v>
      </c>
      <c r="O71" s="2" t="s">
        <v>567</v>
      </c>
      <c r="P71" s="2" t="s">
        <v>568</v>
      </c>
      <c r="Q71" s="2" t="s">
        <v>38</v>
      </c>
      <c r="R71" s="2" t="s">
        <v>222</v>
      </c>
      <c r="S71" s="2" t="n">
        <v>5</v>
      </c>
      <c r="T71" s="2" t="s">
        <v>69</v>
      </c>
      <c r="U71" s="2" t="s">
        <v>69</v>
      </c>
      <c r="V71" s="2" t="s">
        <v>43</v>
      </c>
      <c r="W71" s="2" t="n">
        <v>1961</v>
      </c>
      <c r="X71" s="2" t="n">
        <v>2021</v>
      </c>
    </row>
    <row r="72" customFormat="false" ht="15.75" hidden="false" customHeight="false" outlineLevel="0" collapsed="false">
      <c r="A72" s="2" t="n">
        <v>71</v>
      </c>
      <c r="B72" s="2" t="s">
        <v>25</v>
      </c>
      <c r="C72" s="2" t="s">
        <v>57</v>
      </c>
      <c r="D72" s="2" t="s">
        <v>569</v>
      </c>
      <c r="E72" s="2" t="s">
        <v>570</v>
      </c>
      <c r="F72" s="2" t="s">
        <v>571</v>
      </c>
      <c r="G72" s="4" t="s">
        <v>572</v>
      </c>
      <c r="H72" s="2" t="s">
        <v>573</v>
      </c>
      <c r="J72" s="2" t="s">
        <v>574</v>
      </c>
      <c r="K72" s="2" t="s">
        <v>32</v>
      </c>
      <c r="L72" s="2" t="s">
        <v>328</v>
      </c>
      <c r="M72" s="2" t="s">
        <v>48</v>
      </c>
      <c r="N72" s="7" t="s">
        <v>575</v>
      </c>
      <c r="O72" s="2" t="s">
        <v>576</v>
      </c>
      <c r="P72" s="2" t="s">
        <v>577</v>
      </c>
      <c r="Q72" s="2" t="s">
        <v>38</v>
      </c>
      <c r="R72" s="2" t="s">
        <v>400</v>
      </c>
      <c r="S72" s="8" t="s">
        <v>401</v>
      </c>
      <c r="T72" s="2" t="s">
        <v>54</v>
      </c>
      <c r="U72" s="2" t="s">
        <v>55</v>
      </c>
      <c r="V72" s="2" t="s">
        <v>79</v>
      </c>
      <c r="W72" s="2" t="n">
        <v>2018</v>
      </c>
      <c r="X72" s="2" t="n">
        <v>2018</v>
      </c>
    </row>
    <row r="73" customFormat="false" ht="15.75" hidden="false" customHeight="false" outlineLevel="0" collapsed="false">
      <c r="A73" s="2" t="n">
        <v>72</v>
      </c>
      <c r="B73" s="1" t="s">
        <v>25</v>
      </c>
      <c r="C73" s="2" t="s">
        <v>57</v>
      </c>
      <c r="D73" s="1" t="s">
        <v>569</v>
      </c>
      <c r="E73" s="2" t="s">
        <v>570</v>
      </c>
      <c r="F73" s="2" t="s">
        <v>578</v>
      </c>
      <c r="G73" s="3" t="s">
        <v>579</v>
      </c>
      <c r="H73" s="2"/>
      <c r="I73" s="2"/>
      <c r="J73" s="2" t="s">
        <v>104</v>
      </c>
      <c r="K73" s="2" t="s">
        <v>233</v>
      </c>
      <c r="L73" s="1" t="s">
        <v>580</v>
      </c>
      <c r="M73" s="1" t="s">
        <v>48</v>
      </c>
      <c r="N73" s="5" t="s">
        <v>581</v>
      </c>
      <c r="O73" s="2" t="s">
        <v>349</v>
      </c>
      <c r="P73" s="2" t="s">
        <v>582</v>
      </c>
      <c r="Q73" s="1" t="s">
        <v>237</v>
      </c>
      <c r="R73" s="1" t="s">
        <v>238</v>
      </c>
      <c r="S73" s="6" t="s">
        <v>239</v>
      </c>
      <c r="T73" s="1" t="s">
        <v>69</v>
      </c>
      <c r="U73" s="1" t="s">
        <v>69</v>
      </c>
      <c r="V73" s="1" t="s">
        <v>43</v>
      </c>
      <c r="W73" s="1" t="n">
        <v>1990</v>
      </c>
      <c r="X73" s="1" t="n">
        <v>2023</v>
      </c>
    </row>
    <row r="74" customFormat="false" ht="15.75" hidden="false" customHeight="false" outlineLevel="0" collapsed="false">
      <c r="A74" s="2" t="n">
        <v>73</v>
      </c>
      <c r="B74" s="1" t="s">
        <v>25</v>
      </c>
      <c r="C74" s="2" t="s">
        <v>57</v>
      </c>
      <c r="D74" s="1" t="s">
        <v>569</v>
      </c>
      <c r="E74" s="2" t="s">
        <v>570</v>
      </c>
      <c r="F74" s="2" t="s">
        <v>583</v>
      </c>
      <c r="G74" s="4" t="s">
        <v>584</v>
      </c>
      <c r="H74" s="2"/>
      <c r="I74" s="2"/>
      <c r="J74" s="2" t="s">
        <v>585</v>
      </c>
      <c r="K74" s="2" t="s">
        <v>233</v>
      </c>
      <c r="L74" s="1"/>
      <c r="M74" s="1" t="s">
        <v>33</v>
      </c>
      <c r="N74" s="5" t="s">
        <v>586</v>
      </c>
      <c r="O74" s="2" t="s">
        <v>587</v>
      </c>
      <c r="P74" s="2" t="s">
        <v>588</v>
      </c>
      <c r="Q74" s="1" t="s">
        <v>237</v>
      </c>
      <c r="R74" s="1" t="s">
        <v>589</v>
      </c>
      <c r="S74" s="6" t="s">
        <v>590</v>
      </c>
      <c r="T74" s="2" t="s">
        <v>41</v>
      </c>
      <c r="U74" s="2" t="s">
        <v>198</v>
      </c>
      <c r="V74" s="1" t="s">
        <v>43</v>
      </c>
      <c r="W74" s="1" t="n">
        <v>1992</v>
      </c>
      <c r="X74" s="1" t="n">
        <v>2012</v>
      </c>
    </row>
    <row r="75" customFormat="false" ht="19.5" hidden="false" customHeight="true" outlineLevel="0" collapsed="false">
      <c r="A75" s="2" t="n">
        <v>74</v>
      </c>
      <c r="B75" s="1" t="s">
        <v>25</v>
      </c>
      <c r="C75" s="2" t="s">
        <v>57</v>
      </c>
      <c r="D75" s="1" t="s">
        <v>569</v>
      </c>
      <c r="E75" s="2" t="s">
        <v>570</v>
      </c>
      <c r="F75" s="2" t="s">
        <v>591</v>
      </c>
      <c r="G75" s="4" t="s">
        <v>592</v>
      </c>
      <c r="H75" s="2"/>
      <c r="I75" s="2"/>
      <c r="J75" s="2" t="s">
        <v>475</v>
      </c>
      <c r="K75" s="2" t="s">
        <v>233</v>
      </c>
      <c r="L75" s="1"/>
      <c r="M75" s="1" t="s">
        <v>33</v>
      </c>
      <c r="N75" s="5" t="s">
        <v>593</v>
      </c>
      <c r="O75" s="2" t="s">
        <v>594</v>
      </c>
      <c r="P75" s="2" t="s">
        <v>595</v>
      </c>
      <c r="Q75" s="1" t="s">
        <v>237</v>
      </c>
      <c r="R75" s="1" t="s">
        <v>238</v>
      </c>
      <c r="S75" s="6" t="s">
        <v>239</v>
      </c>
      <c r="T75" s="1" t="s">
        <v>54</v>
      </c>
      <c r="U75" s="2" t="s">
        <v>55</v>
      </c>
      <c r="V75" s="1" t="s">
        <v>43</v>
      </c>
      <c r="W75" s="1" t="n">
        <v>2015</v>
      </c>
      <c r="X75" s="1" t="n">
        <v>2024</v>
      </c>
    </row>
    <row r="76" customFormat="false" ht="15.75" hidden="false" customHeight="true" outlineLevel="0" collapsed="false">
      <c r="A76" s="2" t="n">
        <v>75</v>
      </c>
      <c r="B76" s="1" t="s">
        <v>25</v>
      </c>
      <c r="C76" s="2" t="s">
        <v>57</v>
      </c>
      <c r="D76" s="1" t="s">
        <v>569</v>
      </c>
      <c r="E76" s="2" t="s">
        <v>570</v>
      </c>
      <c r="F76" s="1" t="s">
        <v>596</v>
      </c>
      <c r="G76" s="3" t="s">
        <v>597</v>
      </c>
      <c r="H76" s="2" t="s">
        <v>598</v>
      </c>
      <c r="I76" s="2"/>
      <c r="J76" s="2" t="s">
        <v>599</v>
      </c>
      <c r="K76" s="1" t="s">
        <v>32</v>
      </c>
      <c r="L76" s="1" t="s">
        <v>600</v>
      </c>
      <c r="M76" s="1" t="s">
        <v>48</v>
      </c>
      <c r="N76" s="5" t="s">
        <v>601</v>
      </c>
      <c r="O76" s="2" t="s">
        <v>602</v>
      </c>
      <c r="P76" s="2" t="s">
        <v>603</v>
      </c>
      <c r="Q76" s="1" t="s">
        <v>38</v>
      </c>
      <c r="R76" s="2" t="s">
        <v>67</v>
      </c>
      <c r="S76" s="6" t="s">
        <v>68</v>
      </c>
      <c r="T76" s="1" t="s">
        <v>69</v>
      </c>
      <c r="U76" s="2" t="s">
        <v>69</v>
      </c>
      <c r="V76" s="1" t="s">
        <v>281</v>
      </c>
      <c r="W76" s="1" t="n">
        <v>2015</v>
      </c>
      <c r="X76" s="1" t="n">
        <v>2025</v>
      </c>
    </row>
    <row r="77" customFormat="false" ht="15.75" hidden="false" customHeight="false" outlineLevel="0" collapsed="false">
      <c r="A77" s="2" t="n">
        <v>76</v>
      </c>
      <c r="B77" s="2" t="s">
        <v>604</v>
      </c>
      <c r="F77" s="2" t="s">
        <v>605</v>
      </c>
      <c r="G77" s="2" t="s">
        <v>605</v>
      </c>
      <c r="I77" s="2" t="s">
        <v>606</v>
      </c>
      <c r="O77" s="2" t="s">
        <v>607</v>
      </c>
    </row>
    <row r="78" customFormat="false" ht="15.75" hidden="false" customHeight="false" outlineLevel="0" collapsed="false">
      <c r="A78" s="2" t="n">
        <v>77</v>
      </c>
      <c r="B78" s="2" t="s">
        <v>604</v>
      </c>
      <c r="F78" s="2" t="s">
        <v>608</v>
      </c>
      <c r="G78" s="2" t="s">
        <v>608</v>
      </c>
      <c r="O78" s="2" t="s">
        <v>607</v>
      </c>
    </row>
    <row r="79" customFormat="false" ht="15.75" hidden="false" customHeight="false" outlineLevel="0" collapsed="false">
      <c r="A79" s="2" t="n">
        <v>78</v>
      </c>
      <c r="B79" s="2" t="s">
        <v>604</v>
      </c>
      <c r="F79" s="2" t="s">
        <v>609</v>
      </c>
      <c r="G79" s="2" t="s">
        <v>609</v>
      </c>
      <c r="O79" s="2" t="s">
        <v>607</v>
      </c>
    </row>
    <row r="80" customFormat="false" ht="15.75" hidden="false" customHeight="false" outlineLevel="0" collapsed="false">
      <c r="A80" s="2" t="n">
        <v>135</v>
      </c>
      <c r="B80" s="2" t="s">
        <v>610</v>
      </c>
      <c r="C80" s="2" t="s">
        <v>101</v>
      </c>
      <c r="D80" s="1" t="s">
        <v>91</v>
      </c>
      <c r="E80" s="2" t="s">
        <v>28</v>
      </c>
      <c r="F80" s="1" t="s">
        <v>611</v>
      </c>
      <c r="G80" s="2" t="s">
        <v>612</v>
      </c>
      <c r="H80" s="2" t="s">
        <v>613</v>
      </c>
      <c r="I80" s="2" t="s">
        <v>614</v>
      </c>
      <c r="K80" s="1" t="s">
        <v>32</v>
      </c>
      <c r="L80" s="1" t="s">
        <v>615</v>
      </c>
      <c r="M80" s="1" t="s">
        <v>48</v>
      </c>
      <c r="N80" s="5" t="s">
        <v>616</v>
      </c>
      <c r="O80" s="2" t="s">
        <v>617</v>
      </c>
      <c r="P80" s="2" t="s">
        <v>618</v>
      </c>
      <c r="Q80" s="1" t="s">
        <v>38</v>
      </c>
      <c r="R80" s="2" t="s">
        <v>222</v>
      </c>
      <c r="S80" s="6" t="s">
        <v>223</v>
      </c>
      <c r="T80" s="1" t="s">
        <v>69</v>
      </c>
      <c r="U80" s="1"/>
      <c r="V80" s="1" t="s">
        <v>619</v>
      </c>
      <c r="W80" s="1" t="n">
        <v>1982</v>
      </c>
      <c r="X80" s="1" t="n">
        <v>2016</v>
      </c>
    </row>
    <row r="81" customFormat="false" ht="15.75" hidden="false" customHeight="false" outlineLevel="0" collapsed="false">
      <c r="A81" s="2" t="n">
        <v>79</v>
      </c>
      <c r="B81" s="2" t="s">
        <v>610</v>
      </c>
      <c r="C81" s="2" t="s">
        <v>620</v>
      </c>
      <c r="F81" s="2" t="s">
        <v>621</v>
      </c>
      <c r="G81" s="2" t="s">
        <v>621</v>
      </c>
      <c r="O81" s="2" t="s">
        <v>607</v>
      </c>
    </row>
    <row r="82" customFormat="false" ht="15.75" hidden="false" customHeight="false" outlineLevel="0" collapsed="false">
      <c r="A82" s="2" t="n">
        <v>80</v>
      </c>
      <c r="B82" s="2" t="s">
        <v>610</v>
      </c>
      <c r="C82" s="2" t="s">
        <v>620</v>
      </c>
      <c r="F82" s="2" t="s">
        <v>242</v>
      </c>
      <c r="G82" s="2" t="s">
        <v>242</v>
      </c>
      <c r="J82" s="2" t="s">
        <v>622</v>
      </c>
      <c r="O82" s="2" t="s">
        <v>607</v>
      </c>
    </row>
    <row r="83" customFormat="false" ht="15.75" hidden="false" customHeight="false" outlineLevel="0" collapsed="false">
      <c r="A83" s="2" t="n">
        <v>81</v>
      </c>
      <c r="B83" s="1" t="s">
        <v>610</v>
      </c>
      <c r="C83" s="1" t="s">
        <v>623</v>
      </c>
      <c r="D83" s="1" t="s">
        <v>624</v>
      </c>
      <c r="E83" s="1"/>
      <c r="F83" s="1" t="s">
        <v>625</v>
      </c>
      <c r="G83" s="1" t="s">
        <v>626</v>
      </c>
      <c r="H83" s="2" t="s">
        <v>627</v>
      </c>
      <c r="I83" s="2" t="s">
        <v>177</v>
      </c>
      <c r="J83" s="1"/>
      <c r="K83" s="1" t="s">
        <v>32</v>
      </c>
      <c r="L83" s="1" t="s">
        <v>314</v>
      </c>
      <c r="M83" s="1" t="s">
        <v>48</v>
      </c>
      <c r="N83" s="5" t="s">
        <v>628</v>
      </c>
      <c r="O83" s="2" t="s">
        <v>607</v>
      </c>
      <c r="P83" s="1" t="s">
        <v>629</v>
      </c>
      <c r="Q83" s="1" t="s">
        <v>38</v>
      </c>
      <c r="R83" s="2" t="s">
        <v>108</v>
      </c>
      <c r="S83" s="6" t="s">
        <v>109</v>
      </c>
      <c r="T83" s="1" t="s">
        <v>69</v>
      </c>
      <c r="U83" s="1"/>
      <c r="V83" s="1" t="s">
        <v>43</v>
      </c>
      <c r="W83" s="1" t="n">
        <v>2001</v>
      </c>
      <c r="X83" s="1" t="n">
        <v>2024</v>
      </c>
    </row>
    <row r="84" customFormat="false" ht="15.75" hidden="false" customHeight="false" outlineLevel="0" collapsed="false">
      <c r="A84" s="2" t="n">
        <v>82</v>
      </c>
      <c r="B84" s="2" t="s">
        <v>610</v>
      </c>
      <c r="C84" s="2" t="s">
        <v>623</v>
      </c>
      <c r="D84" s="2" t="s">
        <v>91</v>
      </c>
      <c r="E84" s="2"/>
      <c r="F84" s="2" t="s">
        <v>630</v>
      </c>
      <c r="G84" s="2" t="s">
        <v>292</v>
      </c>
      <c r="H84" s="2"/>
      <c r="I84" s="2" t="s">
        <v>631</v>
      </c>
      <c r="J84" s="2"/>
      <c r="K84" s="2" t="s">
        <v>32</v>
      </c>
      <c r="N84" s="7" t="s">
        <v>632</v>
      </c>
      <c r="O84" s="2" t="s">
        <v>607</v>
      </c>
      <c r="P84" s="2" t="s">
        <v>633</v>
      </c>
      <c r="Q84" s="2" t="s">
        <v>38</v>
      </c>
      <c r="S84" s="6"/>
    </row>
    <row r="85" customFormat="false" ht="15.75" hidden="false" customHeight="false" outlineLevel="0" collapsed="false">
      <c r="A85" s="2" t="n">
        <v>83</v>
      </c>
      <c r="B85" s="2" t="s">
        <v>610</v>
      </c>
      <c r="C85" s="2" t="s">
        <v>623</v>
      </c>
      <c r="F85" s="2" t="s">
        <v>634</v>
      </c>
      <c r="G85" s="2" t="s">
        <v>635</v>
      </c>
      <c r="H85" s="2" t="s">
        <v>292</v>
      </c>
      <c r="I85" s="2" t="s">
        <v>636</v>
      </c>
      <c r="K85" s="2" t="s">
        <v>32</v>
      </c>
      <c r="N85" s="7" t="s">
        <v>637</v>
      </c>
      <c r="O85" s="2" t="s">
        <v>607</v>
      </c>
      <c r="S85" s="6"/>
    </row>
    <row r="86" customFormat="false" ht="15.75" hidden="false" customHeight="false" outlineLevel="0" collapsed="false">
      <c r="A86" s="2" t="n">
        <v>84</v>
      </c>
      <c r="B86" s="1" t="s">
        <v>610</v>
      </c>
      <c r="C86" s="1" t="s">
        <v>638</v>
      </c>
      <c r="D86" s="1" t="s">
        <v>639</v>
      </c>
      <c r="E86" s="1"/>
      <c r="F86" s="1" t="s">
        <v>640</v>
      </c>
      <c r="G86" s="1" t="s">
        <v>641</v>
      </c>
      <c r="H86" s="1"/>
      <c r="I86" s="1"/>
      <c r="J86" s="1"/>
      <c r="K86" s="1" t="s">
        <v>32</v>
      </c>
      <c r="M86" s="1" t="s">
        <v>48</v>
      </c>
      <c r="N86" s="5" t="s">
        <v>642</v>
      </c>
      <c r="O86" s="2" t="s">
        <v>607</v>
      </c>
      <c r="P86" s="1"/>
      <c r="Q86" s="1" t="s">
        <v>38</v>
      </c>
      <c r="R86" s="2" t="s">
        <v>108</v>
      </c>
      <c r="S86" s="6" t="s">
        <v>109</v>
      </c>
      <c r="T86" s="1" t="s">
        <v>69</v>
      </c>
      <c r="U86" s="1"/>
      <c r="V86" s="1" t="s">
        <v>79</v>
      </c>
      <c r="W86" s="1" t="n">
        <v>2009</v>
      </c>
      <c r="X86" s="1" t="n">
        <v>2009</v>
      </c>
    </row>
    <row r="87" customFormat="false" ht="17.15" hidden="false" customHeight="false" outlineLevel="0" collapsed="false">
      <c r="A87" s="2" t="n">
        <v>85</v>
      </c>
      <c r="B87" s="1" t="s">
        <v>610</v>
      </c>
      <c r="C87" s="1" t="s">
        <v>638</v>
      </c>
      <c r="D87" s="1" t="s">
        <v>639</v>
      </c>
      <c r="E87" s="1"/>
      <c r="F87" s="1" t="s">
        <v>643</v>
      </c>
      <c r="G87" s="1" t="s">
        <v>644</v>
      </c>
      <c r="H87" s="1"/>
      <c r="I87" s="1"/>
      <c r="J87" s="1"/>
      <c r="K87" s="1" t="s">
        <v>32</v>
      </c>
      <c r="L87" s="1" t="s">
        <v>645</v>
      </c>
      <c r="M87" s="1" t="s">
        <v>146</v>
      </c>
      <c r="N87" s="5" t="s">
        <v>646</v>
      </c>
      <c r="O87" s="2" t="s">
        <v>607</v>
      </c>
      <c r="P87" s="1" t="s">
        <v>647</v>
      </c>
      <c r="Q87" s="1" t="s">
        <v>38</v>
      </c>
      <c r="R87" s="2" t="s">
        <v>108</v>
      </c>
      <c r="S87" s="6" t="s">
        <v>109</v>
      </c>
      <c r="T87" s="1" t="s">
        <v>69</v>
      </c>
      <c r="U87" s="1"/>
      <c r="V87" s="1" t="s">
        <v>151</v>
      </c>
      <c r="W87" s="1" t="n">
        <v>1992</v>
      </c>
      <c r="X87" s="1" t="n">
        <v>2022</v>
      </c>
    </row>
    <row r="88" customFormat="false" ht="15.75" hidden="false" customHeight="false" outlineLevel="0" collapsed="false">
      <c r="A88" s="2" t="n">
        <v>86</v>
      </c>
      <c r="B88" s="2" t="s">
        <v>610</v>
      </c>
      <c r="C88" s="2" t="s">
        <v>638</v>
      </c>
      <c r="D88" s="2" t="s">
        <v>648</v>
      </c>
      <c r="E88" s="2"/>
      <c r="F88" s="2" t="s">
        <v>649</v>
      </c>
      <c r="G88" s="2" t="s">
        <v>650</v>
      </c>
      <c r="K88" s="2" t="s">
        <v>32</v>
      </c>
      <c r="N88" s="7" t="s">
        <v>651</v>
      </c>
      <c r="O88" s="2" t="s">
        <v>607</v>
      </c>
      <c r="S88" s="6"/>
    </row>
    <row r="89" customFormat="false" ht="15.75" hidden="false" customHeight="false" outlineLevel="0" collapsed="false">
      <c r="A89" s="2" t="n">
        <v>87</v>
      </c>
      <c r="B89" s="2" t="s">
        <v>610</v>
      </c>
      <c r="C89" s="2" t="s">
        <v>90</v>
      </c>
      <c r="D89" s="2" t="s">
        <v>652</v>
      </c>
      <c r="E89" s="2"/>
      <c r="F89" s="2" t="s">
        <v>653</v>
      </c>
      <c r="G89" s="2" t="s">
        <v>654</v>
      </c>
      <c r="H89" s="2" t="s">
        <v>655</v>
      </c>
      <c r="N89" s="7" t="s">
        <v>656</v>
      </c>
      <c r="O89" s="2" t="s">
        <v>607</v>
      </c>
      <c r="P89" s="2" t="s">
        <v>657</v>
      </c>
      <c r="Q89" s="2" t="s">
        <v>38</v>
      </c>
      <c r="R89" s="2" t="s">
        <v>658</v>
      </c>
      <c r="S89" s="2" t="n">
        <v>1</v>
      </c>
      <c r="T89" s="2" t="s">
        <v>69</v>
      </c>
      <c r="U89" s="2"/>
      <c r="V89" s="2" t="s">
        <v>79</v>
      </c>
      <c r="W89" s="2" t="n">
        <v>2015</v>
      </c>
      <c r="X89" s="2" t="n">
        <v>2015</v>
      </c>
    </row>
    <row r="90" customFormat="false" ht="15.75" hidden="false" customHeight="false" outlineLevel="0" collapsed="false">
      <c r="A90" s="2" t="n">
        <v>88</v>
      </c>
      <c r="B90" s="2" t="s">
        <v>610</v>
      </c>
      <c r="C90" s="2" t="s">
        <v>90</v>
      </c>
      <c r="D90" s="2" t="s">
        <v>659</v>
      </c>
      <c r="E90" s="2"/>
      <c r="F90" s="2" t="s">
        <v>660</v>
      </c>
      <c r="G90" s="2" t="s">
        <v>661</v>
      </c>
      <c r="H90" s="2"/>
      <c r="I90" s="2" t="s">
        <v>662</v>
      </c>
      <c r="J90" s="2"/>
      <c r="K90" s="2" t="s">
        <v>32</v>
      </c>
      <c r="N90" s="7" t="s">
        <v>663</v>
      </c>
      <c r="O90" s="2" t="s">
        <v>607</v>
      </c>
      <c r="S90" s="6"/>
    </row>
    <row r="91" customFormat="false" ht="15.75" hidden="false" customHeight="false" outlineLevel="0" collapsed="false">
      <c r="A91" s="2" t="n">
        <v>89</v>
      </c>
      <c r="B91" s="2" t="s">
        <v>610</v>
      </c>
      <c r="C91" s="2" t="s">
        <v>90</v>
      </c>
      <c r="D91" s="2" t="s">
        <v>664</v>
      </c>
      <c r="E91" s="2"/>
      <c r="F91" s="2" t="s">
        <v>665</v>
      </c>
      <c r="G91" s="2" t="s">
        <v>301</v>
      </c>
      <c r="H91" s="2" t="s">
        <v>535</v>
      </c>
      <c r="I91" s="2" t="s">
        <v>666</v>
      </c>
      <c r="J91" s="2" t="s">
        <v>667</v>
      </c>
      <c r="M91" s="1" t="s">
        <v>48</v>
      </c>
      <c r="N91" s="7" t="s">
        <v>668</v>
      </c>
      <c r="O91" s="2" t="s">
        <v>607</v>
      </c>
      <c r="P91" s="2" t="s">
        <v>669</v>
      </c>
      <c r="Q91" s="2" t="s">
        <v>33</v>
      </c>
      <c r="T91" s="2" t="s">
        <v>69</v>
      </c>
      <c r="U91" s="2"/>
      <c r="V91" s="2" t="s">
        <v>43</v>
      </c>
      <c r="W91" s="2" t="n">
        <v>2017</v>
      </c>
      <c r="X91" s="2" t="n">
        <v>2024</v>
      </c>
    </row>
    <row r="92" customFormat="false" ht="15.75" hidden="false" customHeight="false" outlineLevel="0" collapsed="false">
      <c r="A92" s="2" t="n">
        <v>90</v>
      </c>
      <c r="B92" s="1" t="s">
        <v>610</v>
      </c>
      <c r="C92" s="1" t="s">
        <v>90</v>
      </c>
      <c r="D92" s="1" t="s">
        <v>91</v>
      </c>
      <c r="E92" s="1"/>
      <c r="F92" s="1" t="s">
        <v>670</v>
      </c>
      <c r="G92" s="2" t="s">
        <v>671</v>
      </c>
      <c r="H92" s="1"/>
      <c r="I92" s="2" t="s">
        <v>672</v>
      </c>
      <c r="J92" s="2" t="s">
        <v>673</v>
      </c>
      <c r="K92" s="1" t="s">
        <v>32</v>
      </c>
      <c r="L92" s="1" t="s">
        <v>674</v>
      </c>
      <c r="M92" s="1" t="s">
        <v>48</v>
      </c>
      <c r="N92" s="5" t="s">
        <v>675</v>
      </c>
      <c r="O92" s="2" t="s">
        <v>607</v>
      </c>
      <c r="P92" s="1" t="s">
        <v>676</v>
      </c>
      <c r="Q92" s="1" t="s">
        <v>38</v>
      </c>
      <c r="R92" s="2" t="s">
        <v>172</v>
      </c>
      <c r="S92" s="6" t="s">
        <v>173</v>
      </c>
      <c r="T92" s="1" t="s">
        <v>54</v>
      </c>
      <c r="U92" s="1"/>
      <c r="V92" s="1" t="s">
        <v>151</v>
      </c>
      <c r="W92" s="1" t="n">
        <v>1990</v>
      </c>
      <c r="X92" s="1" t="n">
        <v>2018</v>
      </c>
    </row>
    <row r="93" customFormat="false" ht="15.75" hidden="false" customHeight="false" outlineLevel="0" collapsed="false">
      <c r="A93" s="2" t="n">
        <v>91</v>
      </c>
      <c r="B93" s="1" t="s">
        <v>610</v>
      </c>
      <c r="C93" s="1" t="s">
        <v>90</v>
      </c>
      <c r="D93" s="1" t="s">
        <v>677</v>
      </c>
      <c r="E93" s="1"/>
      <c r="F93" s="1" t="s">
        <v>678</v>
      </c>
      <c r="G93" s="1" t="s">
        <v>679</v>
      </c>
      <c r="H93" s="1"/>
      <c r="I93" s="1"/>
      <c r="J93" s="1"/>
      <c r="K93" s="1" t="s">
        <v>32</v>
      </c>
      <c r="L93" s="1" t="s">
        <v>314</v>
      </c>
      <c r="M93" s="1" t="s">
        <v>48</v>
      </c>
      <c r="N93" s="5" t="s">
        <v>680</v>
      </c>
      <c r="O93" s="2" t="s">
        <v>607</v>
      </c>
      <c r="P93" s="1" t="s">
        <v>681</v>
      </c>
      <c r="Q93" s="1" t="s">
        <v>38</v>
      </c>
      <c r="R93" s="2" t="s">
        <v>108</v>
      </c>
      <c r="S93" s="6" t="s">
        <v>109</v>
      </c>
      <c r="T93" s="1" t="s">
        <v>69</v>
      </c>
      <c r="U93" s="1"/>
      <c r="V93" s="1" t="s">
        <v>43</v>
      </c>
      <c r="W93" s="1" t="n">
        <v>1975</v>
      </c>
      <c r="X93" s="1" t="n">
        <v>2030</v>
      </c>
    </row>
    <row r="94" customFormat="false" ht="15.75" hidden="false" customHeight="false" outlineLevel="0" collapsed="false">
      <c r="A94" s="2" t="n">
        <v>92</v>
      </c>
      <c r="B94" s="1" t="s">
        <v>610</v>
      </c>
      <c r="C94" s="1" t="s">
        <v>90</v>
      </c>
      <c r="D94" s="1" t="s">
        <v>677</v>
      </c>
      <c r="E94" s="1"/>
      <c r="F94" s="2" t="s">
        <v>682</v>
      </c>
      <c r="G94" s="2" t="s">
        <v>683</v>
      </c>
      <c r="H94" s="1"/>
      <c r="I94" s="1"/>
      <c r="J94" s="1"/>
      <c r="K94" s="1" t="s">
        <v>32</v>
      </c>
      <c r="L94" s="1" t="s">
        <v>314</v>
      </c>
      <c r="M94" s="1" t="s">
        <v>48</v>
      </c>
      <c r="N94" s="1" t="s">
        <v>680</v>
      </c>
      <c r="O94" s="2" t="s">
        <v>607</v>
      </c>
      <c r="P94" s="1" t="s">
        <v>681</v>
      </c>
      <c r="Q94" s="1" t="s">
        <v>38</v>
      </c>
      <c r="R94" s="2" t="s">
        <v>108</v>
      </c>
      <c r="S94" s="6" t="s">
        <v>109</v>
      </c>
      <c r="T94" s="1" t="s">
        <v>69</v>
      </c>
      <c r="U94" s="1"/>
      <c r="V94" s="1" t="s">
        <v>43</v>
      </c>
      <c r="W94" s="1" t="n">
        <v>1975</v>
      </c>
      <c r="X94" s="1" t="n">
        <v>2030</v>
      </c>
    </row>
    <row r="95" customFormat="false" ht="15.75" hidden="false" customHeight="false" outlineLevel="0" collapsed="false">
      <c r="A95" s="2" t="n">
        <v>93</v>
      </c>
      <c r="B95" s="2" t="s">
        <v>610</v>
      </c>
      <c r="C95" s="2" t="s">
        <v>90</v>
      </c>
      <c r="D95" s="2" t="s">
        <v>677</v>
      </c>
      <c r="E95" s="2"/>
      <c r="F95" s="2" t="s">
        <v>684</v>
      </c>
      <c r="G95" s="2" t="s">
        <v>685</v>
      </c>
      <c r="K95" s="2" t="s">
        <v>32</v>
      </c>
      <c r="N95" s="7" t="s">
        <v>686</v>
      </c>
      <c r="O95" s="2" t="s">
        <v>607</v>
      </c>
      <c r="S95" s="6"/>
    </row>
    <row r="96" customFormat="false" ht="15.75" hidden="false" customHeight="false" outlineLevel="0" collapsed="false">
      <c r="A96" s="2" t="n">
        <v>94</v>
      </c>
      <c r="B96" s="2" t="s">
        <v>610</v>
      </c>
      <c r="C96" s="2" t="s">
        <v>90</v>
      </c>
      <c r="D96" s="2" t="s">
        <v>677</v>
      </c>
      <c r="E96" s="2"/>
      <c r="F96" s="12" t="s">
        <v>687</v>
      </c>
      <c r="G96" s="2" t="s">
        <v>688</v>
      </c>
      <c r="N96" s="7" t="s">
        <v>689</v>
      </c>
      <c r="O96" s="2" t="s">
        <v>607</v>
      </c>
    </row>
    <row r="97" customFormat="false" ht="15.75" hidden="false" customHeight="false" outlineLevel="0" collapsed="false">
      <c r="A97" s="2" t="n">
        <v>95</v>
      </c>
      <c r="B97" s="2" t="s">
        <v>610</v>
      </c>
      <c r="C97" s="2" t="s">
        <v>90</v>
      </c>
      <c r="D97" s="2" t="s">
        <v>677</v>
      </c>
      <c r="E97" s="2"/>
      <c r="F97" s="2" t="s">
        <v>690</v>
      </c>
      <c r="G97" s="2" t="s">
        <v>691</v>
      </c>
      <c r="O97" s="2" t="s">
        <v>607</v>
      </c>
    </row>
    <row r="98" customFormat="false" ht="15" hidden="false" customHeight="true" outlineLevel="0" collapsed="false">
      <c r="A98" s="2" t="n">
        <v>96</v>
      </c>
      <c r="B98" s="2" t="s">
        <v>610</v>
      </c>
      <c r="C98" s="2" t="s">
        <v>90</v>
      </c>
      <c r="D98" s="2" t="s">
        <v>692</v>
      </c>
      <c r="E98" s="2"/>
      <c r="F98" s="2" t="s">
        <v>693</v>
      </c>
      <c r="G98" s="2" t="s">
        <v>694</v>
      </c>
      <c r="H98" s="2"/>
      <c r="I98" s="2" t="s">
        <v>73</v>
      </c>
      <c r="J98" s="2"/>
      <c r="K98" s="2" t="s">
        <v>32</v>
      </c>
      <c r="O98" s="2" t="s">
        <v>607</v>
      </c>
      <c r="S98" s="6"/>
    </row>
    <row r="99" customFormat="false" ht="15.75" hidden="false" customHeight="false" outlineLevel="0" collapsed="false">
      <c r="A99" s="2" t="n">
        <v>97</v>
      </c>
      <c r="B99" s="2" t="s">
        <v>610</v>
      </c>
      <c r="C99" s="2" t="s">
        <v>90</v>
      </c>
      <c r="D99" s="2" t="s">
        <v>692</v>
      </c>
      <c r="E99" s="2"/>
      <c r="F99" s="2" t="s">
        <v>695</v>
      </c>
      <c r="G99" s="2" t="s">
        <v>696</v>
      </c>
      <c r="H99" s="2"/>
      <c r="I99" s="2" t="s">
        <v>697</v>
      </c>
      <c r="J99" s="2"/>
      <c r="K99" s="2" t="s">
        <v>32</v>
      </c>
      <c r="O99" s="2" t="s">
        <v>607</v>
      </c>
      <c r="S99" s="6"/>
    </row>
    <row r="100" customFormat="false" ht="22.5" hidden="false" customHeight="true" outlineLevel="0" collapsed="false">
      <c r="A100" s="2" t="n">
        <v>98</v>
      </c>
      <c r="B100" s="2" t="s">
        <v>610</v>
      </c>
      <c r="C100" s="2" t="s">
        <v>90</v>
      </c>
      <c r="D100" s="2" t="s">
        <v>692</v>
      </c>
      <c r="E100" s="2"/>
      <c r="F100" s="2" t="s">
        <v>284</v>
      </c>
      <c r="G100" s="2" t="s">
        <v>284</v>
      </c>
      <c r="H100" s="2"/>
      <c r="I100" s="2" t="s">
        <v>698</v>
      </c>
      <c r="J100" s="2"/>
      <c r="K100" s="2" t="s">
        <v>32</v>
      </c>
      <c r="O100" s="2" t="s">
        <v>607</v>
      </c>
      <c r="S100" s="6"/>
    </row>
    <row r="101" customFormat="false" ht="14.25" hidden="false" customHeight="true" outlineLevel="0" collapsed="false">
      <c r="A101" s="2" t="n">
        <v>99</v>
      </c>
      <c r="B101" s="2" t="s">
        <v>610</v>
      </c>
      <c r="C101" s="2" t="s">
        <v>90</v>
      </c>
      <c r="D101" s="2" t="s">
        <v>692</v>
      </c>
      <c r="E101" s="2"/>
      <c r="F101" s="2" t="s">
        <v>699</v>
      </c>
      <c r="G101" s="2" t="s">
        <v>226</v>
      </c>
      <c r="I101" s="2" t="s">
        <v>700</v>
      </c>
      <c r="J101" s="2"/>
      <c r="K101" s="2" t="s">
        <v>32</v>
      </c>
      <c r="O101" s="2" t="s">
        <v>607</v>
      </c>
      <c r="S101" s="6"/>
    </row>
    <row r="102" customFormat="false" ht="15.75" hidden="false" customHeight="false" outlineLevel="0" collapsed="false">
      <c r="A102" s="2" t="n">
        <v>100</v>
      </c>
      <c r="B102" s="2" t="s">
        <v>610</v>
      </c>
      <c r="C102" s="2" t="s">
        <v>90</v>
      </c>
      <c r="D102" s="2" t="s">
        <v>692</v>
      </c>
      <c r="E102" s="2"/>
      <c r="F102" s="2" t="s">
        <v>701</v>
      </c>
      <c r="G102" s="2" t="s">
        <v>702</v>
      </c>
      <c r="I102" s="2" t="s">
        <v>698</v>
      </c>
      <c r="O102" s="2" t="s">
        <v>607</v>
      </c>
    </row>
    <row r="103" customFormat="false" ht="15.75" hidden="false" customHeight="false" outlineLevel="0" collapsed="false">
      <c r="A103" s="2" t="n">
        <v>101</v>
      </c>
      <c r="B103" s="2" t="s">
        <v>610</v>
      </c>
      <c r="C103" s="2" t="s">
        <v>90</v>
      </c>
      <c r="D103" s="2" t="s">
        <v>692</v>
      </c>
      <c r="E103" s="2"/>
      <c r="F103" s="2" t="s">
        <v>703</v>
      </c>
      <c r="G103" s="2" t="s">
        <v>704</v>
      </c>
      <c r="N103" s="5"/>
      <c r="O103" s="2" t="s">
        <v>607</v>
      </c>
    </row>
    <row r="104" customFormat="false" ht="15.75" hidden="false" customHeight="false" outlineLevel="0" collapsed="false">
      <c r="A104" s="2" t="n">
        <v>102</v>
      </c>
      <c r="B104" s="2" t="s">
        <v>610</v>
      </c>
      <c r="C104" s="2" t="s">
        <v>90</v>
      </c>
      <c r="D104" s="2" t="s">
        <v>692</v>
      </c>
      <c r="E104" s="2"/>
      <c r="F104" s="2" t="s">
        <v>112</v>
      </c>
      <c r="G104" s="2" t="s">
        <v>112</v>
      </c>
      <c r="H104" s="2" t="s">
        <v>705</v>
      </c>
      <c r="I104" s="2" t="s">
        <v>706</v>
      </c>
      <c r="N104" s="2" t="s">
        <v>707</v>
      </c>
      <c r="O104" s="2" t="s">
        <v>607</v>
      </c>
      <c r="R104" s="2" t="s">
        <v>39</v>
      </c>
      <c r="S104" s="2" t="s">
        <v>40</v>
      </c>
      <c r="T104" s="2" t="s">
        <v>99</v>
      </c>
      <c r="U104" s="2"/>
      <c r="V104" s="2" t="s">
        <v>79</v>
      </c>
      <c r="W104" s="2" t="n">
        <v>2010</v>
      </c>
      <c r="X104" s="2" t="n">
        <v>2010</v>
      </c>
    </row>
    <row r="105" customFormat="false" ht="15.75" hidden="false" customHeight="false" outlineLevel="0" collapsed="false">
      <c r="A105" s="2" t="n">
        <v>103</v>
      </c>
      <c r="B105" s="2" t="s">
        <v>610</v>
      </c>
      <c r="C105" s="2" t="s">
        <v>90</v>
      </c>
      <c r="D105" s="2" t="s">
        <v>692</v>
      </c>
      <c r="E105" s="2"/>
      <c r="F105" s="2" t="s">
        <v>708</v>
      </c>
      <c r="G105" s="2" t="s">
        <v>708</v>
      </c>
      <c r="O105" s="2" t="s">
        <v>607</v>
      </c>
      <c r="T105" s="2" t="s">
        <v>99</v>
      </c>
      <c r="U105" s="2"/>
    </row>
    <row r="106" customFormat="false" ht="15.75" hidden="false" customHeight="false" outlineLevel="0" collapsed="false">
      <c r="A106" s="2" t="n">
        <v>104</v>
      </c>
      <c r="B106" s="2" t="s">
        <v>610</v>
      </c>
      <c r="C106" s="2" t="s">
        <v>90</v>
      </c>
      <c r="D106" s="2" t="s">
        <v>692</v>
      </c>
      <c r="E106" s="2"/>
      <c r="F106" s="2" t="s">
        <v>709</v>
      </c>
      <c r="G106" s="2" t="s">
        <v>710</v>
      </c>
      <c r="I106" s="2" t="s">
        <v>711</v>
      </c>
      <c r="J106" s="2" t="s">
        <v>104</v>
      </c>
      <c r="N106" s="7" t="s">
        <v>712</v>
      </c>
      <c r="O106" s="2" t="s">
        <v>607</v>
      </c>
      <c r="T106" s="2" t="s">
        <v>69</v>
      </c>
      <c r="U106" s="2"/>
      <c r="W106" s="2" t="n">
        <v>2017</v>
      </c>
      <c r="X106" s="2" t="n">
        <v>2017</v>
      </c>
    </row>
    <row r="107" customFormat="false" ht="15.75" hidden="false" customHeight="false" outlineLevel="0" collapsed="false">
      <c r="A107" s="2" t="n">
        <v>105</v>
      </c>
      <c r="B107" s="2" t="s">
        <v>610</v>
      </c>
      <c r="C107" s="2" t="s">
        <v>90</v>
      </c>
      <c r="D107" s="2" t="s">
        <v>692</v>
      </c>
      <c r="E107" s="2"/>
      <c r="F107" s="2" t="s">
        <v>713</v>
      </c>
      <c r="G107" s="2" t="s">
        <v>713</v>
      </c>
      <c r="I107" s="2" t="s">
        <v>714</v>
      </c>
      <c r="O107" s="2" t="s">
        <v>607</v>
      </c>
      <c r="R107" s="2" t="s">
        <v>715</v>
      </c>
      <c r="S107" s="2" t="s">
        <v>716</v>
      </c>
    </row>
    <row r="108" customFormat="false" ht="15.75" hidden="false" customHeight="false" outlineLevel="0" collapsed="false">
      <c r="A108" s="2" t="n">
        <v>106</v>
      </c>
      <c r="B108" s="2" t="s">
        <v>610</v>
      </c>
      <c r="C108" s="2" t="s">
        <v>90</v>
      </c>
      <c r="D108" s="2" t="s">
        <v>692</v>
      </c>
      <c r="E108" s="2"/>
      <c r="F108" s="2" t="s">
        <v>717</v>
      </c>
      <c r="G108" s="2" t="s">
        <v>717</v>
      </c>
      <c r="I108" s="2" t="s">
        <v>718</v>
      </c>
      <c r="O108" s="2" t="s">
        <v>607</v>
      </c>
    </row>
    <row r="109" customFormat="false" ht="15.75" hidden="false" customHeight="false" outlineLevel="0" collapsed="false">
      <c r="A109" s="2" t="n">
        <v>107</v>
      </c>
      <c r="B109" s="2" t="s">
        <v>610</v>
      </c>
      <c r="C109" s="2" t="s">
        <v>90</v>
      </c>
      <c r="D109" s="2" t="s">
        <v>692</v>
      </c>
      <c r="E109" s="2"/>
      <c r="F109" s="2" t="s">
        <v>719</v>
      </c>
      <c r="G109" s="2" t="s">
        <v>720</v>
      </c>
      <c r="I109" s="2" t="s">
        <v>721</v>
      </c>
      <c r="O109" s="2" t="s">
        <v>607</v>
      </c>
    </row>
    <row r="110" customFormat="false" ht="15.75" hidden="false" customHeight="false" outlineLevel="0" collapsed="false">
      <c r="A110" s="2" t="n">
        <v>108</v>
      </c>
      <c r="B110" s="2" t="s">
        <v>610</v>
      </c>
      <c r="C110" s="2" t="s">
        <v>90</v>
      </c>
      <c r="D110" s="2" t="s">
        <v>692</v>
      </c>
      <c r="E110" s="2"/>
      <c r="F110" s="2" t="s">
        <v>722</v>
      </c>
      <c r="G110" s="2" t="s">
        <v>722</v>
      </c>
      <c r="I110" s="2" t="s">
        <v>723</v>
      </c>
      <c r="O110" s="2" t="s">
        <v>607</v>
      </c>
    </row>
    <row r="111" customFormat="false" ht="15.75" hidden="false" customHeight="false" outlineLevel="0" collapsed="false">
      <c r="A111" s="2" t="n">
        <v>109</v>
      </c>
      <c r="B111" s="2" t="s">
        <v>610</v>
      </c>
      <c r="C111" s="2" t="s">
        <v>90</v>
      </c>
      <c r="D111" s="2" t="s">
        <v>692</v>
      </c>
      <c r="E111" s="2"/>
      <c r="F111" s="2" t="s">
        <v>724</v>
      </c>
      <c r="G111" s="2" t="s">
        <v>725</v>
      </c>
      <c r="O111" s="2" t="s">
        <v>607</v>
      </c>
    </row>
    <row r="112" customFormat="false" ht="15.75" hidden="false" customHeight="false" outlineLevel="0" collapsed="false">
      <c r="A112" s="2" t="n">
        <v>110</v>
      </c>
      <c r="B112" s="2" t="s">
        <v>610</v>
      </c>
      <c r="C112" s="2" t="s">
        <v>90</v>
      </c>
      <c r="D112" s="2" t="s">
        <v>692</v>
      </c>
      <c r="E112" s="2"/>
      <c r="F112" s="2" t="s">
        <v>726</v>
      </c>
      <c r="G112" s="2" t="s">
        <v>727</v>
      </c>
      <c r="I112" s="2" t="s">
        <v>177</v>
      </c>
      <c r="O112" s="2" t="s">
        <v>607</v>
      </c>
    </row>
    <row r="113" customFormat="false" ht="15.75" hidden="false" customHeight="false" outlineLevel="0" collapsed="false">
      <c r="A113" s="2" t="n">
        <v>111</v>
      </c>
      <c r="B113" s="2" t="s">
        <v>610</v>
      </c>
      <c r="C113" s="2" t="s">
        <v>90</v>
      </c>
      <c r="D113" s="2" t="s">
        <v>692</v>
      </c>
      <c r="E113" s="2"/>
      <c r="F113" s="2" t="s">
        <v>728</v>
      </c>
      <c r="G113" s="2" t="s">
        <v>729</v>
      </c>
      <c r="I113" s="2" t="s">
        <v>177</v>
      </c>
      <c r="O113" s="2" t="s">
        <v>607</v>
      </c>
    </row>
    <row r="114" customFormat="false" ht="15.75" hidden="false" customHeight="false" outlineLevel="0" collapsed="false">
      <c r="A114" s="2" t="n">
        <v>112</v>
      </c>
      <c r="B114" s="2" t="s">
        <v>610</v>
      </c>
      <c r="C114" s="2" t="s">
        <v>90</v>
      </c>
      <c r="D114" s="2" t="s">
        <v>692</v>
      </c>
      <c r="E114" s="2"/>
      <c r="F114" s="2" t="s">
        <v>730</v>
      </c>
      <c r="G114" s="2" t="s">
        <v>535</v>
      </c>
      <c r="H114" s="2" t="s">
        <v>731</v>
      </c>
      <c r="I114" s="2" t="s">
        <v>732</v>
      </c>
      <c r="O114" s="2" t="s">
        <v>607</v>
      </c>
    </row>
    <row r="115" customFormat="false" ht="15.75" hidden="false" customHeight="false" outlineLevel="0" collapsed="false">
      <c r="A115" s="2" t="n">
        <v>113</v>
      </c>
      <c r="B115" s="2" t="s">
        <v>610</v>
      </c>
      <c r="C115" s="2" t="s">
        <v>90</v>
      </c>
      <c r="D115" s="2" t="s">
        <v>692</v>
      </c>
      <c r="E115" s="2"/>
      <c r="F115" s="2" t="s">
        <v>733</v>
      </c>
      <c r="G115" s="2" t="s">
        <v>734</v>
      </c>
      <c r="I115" s="2" t="s">
        <v>636</v>
      </c>
      <c r="O115" s="2" t="s">
        <v>607</v>
      </c>
    </row>
    <row r="116" customFormat="false" ht="15.75" hidden="false" customHeight="false" outlineLevel="0" collapsed="false">
      <c r="A116" s="2" t="n">
        <v>114</v>
      </c>
      <c r="B116" s="1" t="s">
        <v>610</v>
      </c>
      <c r="C116" s="1" t="s">
        <v>90</v>
      </c>
      <c r="D116" s="1" t="s">
        <v>735</v>
      </c>
      <c r="E116" s="1"/>
      <c r="F116" s="1" t="s">
        <v>736</v>
      </c>
      <c r="G116" s="1" t="s">
        <v>737</v>
      </c>
      <c r="H116" s="1"/>
      <c r="I116" s="1"/>
      <c r="J116" s="1"/>
      <c r="K116" s="1" t="s">
        <v>32</v>
      </c>
      <c r="L116" s="1" t="s">
        <v>645</v>
      </c>
      <c r="M116" s="1" t="s">
        <v>48</v>
      </c>
      <c r="N116" s="5" t="s">
        <v>738</v>
      </c>
      <c r="O116" s="2" t="s">
        <v>607</v>
      </c>
      <c r="P116" s="1" t="s">
        <v>739</v>
      </c>
      <c r="Q116" s="1" t="s">
        <v>38</v>
      </c>
      <c r="R116" s="2" t="s">
        <v>108</v>
      </c>
      <c r="S116" s="6" t="s">
        <v>109</v>
      </c>
      <c r="T116" s="1" t="s">
        <v>69</v>
      </c>
      <c r="U116" s="1"/>
      <c r="V116" s="1" t="n">
        <v>5</v>
      </c>
      <c r="W116" s="1" t="n">
        <v>1975</v>
      </c>
      <c r="X116" s="1" t="n">
        <v>2030</v>
      </c>
    </row>
    <row r="117" customFormat="false" ht="15.75" hidden="false" customHeight="false" outlineLevel="0" collapsed="false">
      <c r="A117" s="2" t="n">
        <v>115</v>
      </c>
      <c r="B117" s="1" t="s">
        <v>610</v>
      </c>
      <c r="C117" s="1" t="s">
        <v>90</v>
      </c>
      <c r="D117" s="1" t="s">
        <v>735</v>
      </c>
      <c r="E117" s="1"/>
      <c r="F117" s="1" t="s">
        <v>740</v>
      </c>
      <c r="G117" s="1" t="s">
        <v>741</v>
      </c>
      <c r="H117" s="1"/>
      <c r="I117" s="2" t="s">
        <v>177</v>
      </c>
      <c r="J117" s="1"/>
      <c r="K117" s="1" t="s">
        <v>32</v>
      </c>
      <c r="L117" s="1"/>
      <c r="M117" s="1" t="s">
        <v>48</v>
      </c>
      <c r="N117" s="5" t="s">
        <v>742</v>
      </c>
      <c r="O117" s="2" t="s">
        <v>607</v>
      </c>
      <c r="P117" s="1" t="s">
        <v>743</v>
      </c>
      <c r="Q117" s="1" t="s">
        <v>38</v>
      </c>
      <c r="R117" s="2" t="s">
        <v>744</v>
      </c>
      <c r="S117" s="6" t="s">
        <v>745</v>
      </c>
      <c r="T117" s="1" t="s">
        <v>69</v>
      </c>
      <c r="U117" s="1"/>
      <c r="V117" s="1" t="s">
        <v>79</v>
      </c>
      <c r="W117" s="1" t="n">
        <v>2020</v>
      </c>
      <c r="X117" s="1" t="n">
        <v>2020</v>
      </c>
    </row>
    <row r="118" customFormat="false" ht="15.75" hidden="false" customHeight="false" outlineLevel="0" collapsed="false">
      <c r="A118" s="2" t="n">
        <v>116</v>
      </c>
      <c r="B118" s="1" t="s">
        <v>610</v>
      </c>
      <c r="C118" s="1" t="s">
        <v>90</v>
      </c>
      <c r="D118" s="1" t="s">
        <v>735</v>
      </c>
      <c r="E118" s="1"/>
      <c r="F118" s="1" t="s">
        <v>746</v>
      </c>
      <c r="G118" s="1" t="s">
        <v>747</v>
      </c>
      <c r="H118" s="1"/>
      <c r="I118" s="2" t="s">
        <v>748</v>
      </c>
      <c r="J118" s="1"/>
      <c r="K118" s="1" t="s">
        <v>32</v>
      </c>
      <c r="L118" s="1" t="s">
        <v>328</v>
      </c>
      <c r="M118" s="1" t="s">
        <v>48</v>
      </c>
      <c r="N118" s="5" t="s">
        <v>749</v>
      </c>
      <c r="O118" s="2" t="s">
        <v>607</v>
      </c>
      <c r="P118" s="5" t="s">
        <v>750</v>
      </c>
      <c r="Q118" s="1" t="s">
        <v>150</v>
      </c>
      <c r="R118" s="2" t="s">
        <v>751</v>
      </c>
      <c r="S118" s="6" t="s">
        <v>752</v>
      </c>
      <c r="T118" s="1" t="s">
        <v>54</v>
      </c>
      <c r="U118" s="1"/>
      <c r="V118" s="1" t="s">
        <v>79</v>
      </c>
      <c r="W118" s="1" t="n">
        <v>2015</v>
      </c>
      <c r="X118" s="1" t="n">
        <v>2015</v>
      </c>
    </row>
    <row r="119" customFormat="false" ht="15.75" hidden="false" customHeight="false" outlineLevel="0" collapsed="false">
      <c r="A119" s="2" t="n">
        <v>117</v>
      </c>
      <c r="B119" s="2" t="s">
        <v>610</v>
      </c>
      <c r="C119" s="2" t="s">
        <v>90</v>
      </c>
      <c r="D119" s="2" t="s">
        <v>735</v>
      </c>
      <c r="E119" s="2"/>
      <c r="F119" s="2" t="s">
        <v>753</v>
      </c>
      <c r="G119" s="2" t="s">
        <v>754</v>
      </c>
      <c r="K119" s="2" t="s">
        <v>32</v>
      </c>
      <c r="O119" s="2" t="s">
        <v>607</v>
      </c>
      <c r="S119" s="6"/>
    </row>
    <row r="120" customFormat="false" ht="15.75" hidden="false" customHeight="false" outlineLevel="0" collapsed="false">
      <c r="A120" s="2" t="n">
        <v>118</v>
      </c>
      <c r="B120" s="2" t="s">
        <v>610</v>
      </c>
      <c r="C120" s="2" t="s">
        <v>90</v>
      </c>
      <c r="D120" s="2" t="s">
        <v>735</v>
      </c>
      <c r="E120" s="2"/>
      <c r="F120" s="2" t="s">
        <v>755</v>
      </c>
      <c r="G120" s="2" t="s">
        <v>756</v>
      </c>
      <c r="O120" s="2" t="s">
        <v>607</v>
      </c>
    </row>
    <row r="121" customFormat="false" ht="15.75" hidden="false" customHeight="false" outlineLevel="0" collapsed="false">
      <c r="A121" s="2" t="n">
        <v>119</v>
      </c>
      <c r="B121" s="2" t="s">
        <v>610</v>
      </c>
      <c r="C121" s="2" t="s">
        <v>90</v>
      </c>
      <c r="D121" s="2" t="s">
        <v>757</v>
      </c>
      <c r="E121" s="2"/>
      <c r="F121" s="2" t="s">
        <v>758</v>
      </c>
      <c r="G121" s="2" t="s">
        <v>759</v>
      </c>
      <c r="H121" s="2"/>
      <c r="I121" s="2" t="s">
        <v>760</v>
      </c>
      <c r="J121" s="2"/>
      <c r="K121" s="2" t="s">
        <v>32</v>
      </c>
      <c r="N121" s="7" t="s">
        <v>761</v>
      </c>
      <c r="O121" s="2" t="s">
        <v>607</v>
      </c>
      <c r="S121" s="6"/>
    </row>
    <row r="122" customFormat="false" ht="15.75" hidden="false" customHeight="false" outlineLevel="0" collapsed="false">
      <c r="A122" s="2" t="n">
        <v>120</v>
      </c>
      <c r="B122" s="1" t="s">
        <v>610</v>
      </c>
      <c r="C122" s="1" t="s">
        <v>762</v>
      </c>
      <c r="D122" s="1" t="s">
        <v>763</v>
      </c>
      <c r="E122" s="1"/>
      <c r="F122" s="1" t="s">
        <v>764</v>
      </c>
      <c r="G122" s="1" t="s">
        <v>765</v>
      </c>
      <c r="K122" s="1" t="s">
        <v>32</v>
      </c>
      <c r="M122" s="1" t="s">
        <v>48</v>
      </c>
      <c r="N122" s="5" t="s">
        <v>766</v>
      </c>
      <c r="O122" s="2" t="s">
        <v>607</v>
      </c>
      <c r="P122" s="1" t="s">
        <v>767</v>
      </c>
      <c r="Q122" s="1" t="s">
        <v>38</v>
      </c>
      <c r="R122" s="2" t="s">
        <v>206</v>
      </c>
      <c r="S122" s="6" t="s">
        <v>207</v>
      </c>
      <c r="T122" s="1" t="s">
        <v>69</v>
      </c>
      <c r="U122" s="1"/>
      <c r="V122" s="1" t="s">
        <v>79</v>
      </c>
      <c r="W122" s="1" t="n">
        <v>1995</v>
      </c>
      <c r="X122" s="1" t="n">
        <v>1995</v>
      </c>
    </row>
    <row r="123" customFormat="false" ht="15.75" hidden="false" customHeight="false" outlineLevel="0" collapsed="false">
      <c r="A123" s="2" t="n">
        <v>121</v>
      </c>
      <c r="B123" s="1" t="s">
        <v>610</v>
      </c>
      <c r="C123" s="1" t="s">
        <v>762</v>
      </c>
      <c r="D123" s="2" t="s">
        <v>768</v>
      </c>
      <c r="E123" s="2"/>
      <c r="F123" s="1" t="s">
        <v>769</v>
      </c>
      <c r="G123" s="1" t="s">
        <v>770</v>
      </c>
      <c r="I123" s="2" t="s">
        <v>73</v>
      </c>
      <c r="K123" s="1" t="s">
        <v>32</v>
      </c>
      <c r="L123" s="1" t="s">
        <v>771</v>
      </c>
      <c r="M123" s="1" t="s">
        <v>48</v>
      </c>
      <c r="N123" s="5" t="s">
        <v>772</v>
      </c>
      <c r="O123" s="2" t="s">
        <v>607</v>
      </c>
      <c r="P123" s="1" t="s">
        <v>773</v>
      </c>
      <c r="Q123" s="1" t="s">
        <v>38</v>
      </c>
      <c r="R123" s="2" t="s">
        <v>260</v>
      </c>
      <c r="S123" s="6" t="s">
        <v>261</v>
      </c>
      <c r="T123" s="1" t="s">
        <v>69</v>
      </c>
      <c r="U123" s="1"/>
      <c r="V123" s="1" t="s">
        <v>43</v>
      </c>
      <c r="W123" s="1" t="n">
        <v>2001</v>
      </c>
      <c r="X123" s="1" t="n">
        <v>2025</v>
      </c>
    </row>
    <row r="124" customFormat="false" ht="15.75" hidden="false" customHeight="false" outlineLevel="0" collapsed="false">
      <c r="A124" s="2" t="n">
        <v>122</v>
      </c>
      <c r="B124" s="2" t="s">
        <v>610</v>
      </c>
      <c r="C124" s="2" t="s">
        <v>762</v>
      </c>
      <c r="D124" s="2" t="s">
        <v>768</v>
      </c>
      <c r="E124" s="2"/>
      <c r="F124" s="2" t="s">
        <v>774</v>
      </c>
      <c r="G124" s="2" t="s">
        <v>775</v>
      </c>
      <c r="N124" s="7" t="s">
        <v>776</v>
      </c>
      <c r="O124" s="2" t="s">
        <v>607</v>
      </c>
      <c r="S124" s="6"/>
    </row>
    <row r="125" customFormat="false" ht="15.75" hidden="false" customHeight="false" outlineLevel="0" collapsed="false">
      <c r="A125" s="2" t="n">
        <v>123</v>
      </c>
      <c r="B125" s="1" t="s">
        <v>610</v>
      </c>
      <c r="C125" s="1" t="s">
        <v>777</v>
      </c>
      <c r="D125" s="1" t="s">
        <v>778</v>
      </c>
      <c r="E125" s="1"/>
      <c r="F125" s="1" t="s">
        <v>779</v>
      </c>
      <c r="G125" s="1" t="s">
        <v>780</v>
      </c>
      <c r="K125" s="1" t="s">
        <v>32</v>
      </c>
      <c r="L125" s="1" t="s">
        <v>781</v>
      </c>
      <c r="M125" s="1" t="s">
        <v>48</v>
      </c>
      <c r="N125" s="5" t="s">
        <v>782</v>
      </c>
      <c r="O125" s="2" t="s">
        <v>607</v>
      </c>
      <c r="Q125" s="1" t="s">
        <v>205</v>
      </c>
      <c r="R125" s="2" t="s">
        <v>108</v>
      </c>
      <c r="S125" s="6" t="s">
        <v>109</v>
      </c>
      <c r="T125" s="1" t="s">
        <v>69</v>
      </c>
      <c r="U125" s="1"/>
      <c r="V125" s="1" t="s">
        <v>79</v>
      </c>
      <c r="W125" s="1" t="n">
        <v>2023</v>
      </c>
      <c r="X125" s="1" t="n">
        <v>2023</v>
      </c>
    </row>
    <row r="126" customFormat="false" ht="15.75" hidden="false" customHeight="false" outlineLevel="0" collapsed="false">
      <c r="A126" s="2" t="n">
        <v>124</v>
      </c>
      <c r="B126" s="1" t="s">
        <v>610</v>
      </c>
      <c r="C126" s="1" t="s">
        <v>777</v>
      </c>
      <c r="D126" s="1" t="s">
        <v>783</v>
      </c>
      <c r="E126" s="1"/>
      <c r="F126" s="1" t="s">
        <v>784</v>
      </c>
      <c r="G126" s="1" t="s">
        <v>785</v>
      </c>
      <c r="K126" s="1" t="s">
        <v>32</v>
      </c>
      <c r="M126" s="1" t="s">
        <v>48</v>
      </c>
      <c r="N126" s="5" t="s">
        <v>786</v>
      </c>
      <c r="O126" s="2" t="s">
        <v>607</v>
      </c>
      <c r="Q126" s="1" t="s">
        <v>205</v>
      </c>
      <c r="R126" s="2" t="s">
        <v>108</v>
      </c>
      <c r="S126" s="6" t="s">
        <v>109</v>
      </c>
      <c r="T126" s="1" t="s">
        <v>69</v>
      </c>
      <c r="U126" s="1"/>
      <c r="V126" s="1" t="s">
        <v>79</v>
      </c>
      <c r="W126" s="1" t="n">
        <v>2023</v>
      </c>
      <c r="X126" s="1" t="n">
        <v>2023</v>
      </c>
    </row>
    <row r="127" customFormat="false" ht="15.75" hidden="false" customHeight="false" outlineLevel="0" collapsed="false">
      <c r="A127" s="2" t="n">
        <v>125</v>
      </c>
      <c r="B127" s="1" t="s">
        <v>610</v>
      </c>
      <c r="C127" s="1" t="s">
        <v>777</v>
      </c>
      <c r="D127" s="1" t="s">
        <v>692</v>
      </c>
      <c r="E127" s="1"/>
      <c r="F127" s="1" t="s">
        <v>787</v>
      </c>
      <c r="G127" s="2" t="s">
        <v>788</v>
      </c>
      <c r="J127" s="2" t="s">
        <v>789</v>
      </c>
      <c r="K127" s="1" t="s">
        <v>32</v>
      </c>
      <c r="L127" s="1" t="s">
        <v>790</v>
      </c>
      <c r="M127" s="1" t="s">
        <v>48</v>
      </c>
      <c r="N127" s="5" t="s">
        <v>791</v>
      </c>
      <c r="O127" s="2" t="s">
        <v>607</v>
      </c>
      <c r="Q127" s="1" t="s">
        <v>38</v>
      </c>
      <c r="R127" s="2" t="s">
        <v>400</v>
      </c>
      <c r="S127" s="6" t="s">
        <v>401</v>
      </c>
      <c r="T127" s="1" t="s">
        <v>69</v>
      </c>
      <c r="U127" s="1"/>
      <c r="V127" s="1" t="s">
        <v>79</v>
      </c>
      <c r="W127" s="1" t="n">
        <v>2006</v>
      </c>
      <c r="X127" s="1" t="n">
        <v>2006</v>
      </c>
    </row>
    <row r="128" customFormat="false" ht="15.75" hidden="false" customHeight="false" outlineLevel="0" collapsed="false">
      <c r="A128" s="2" t="n">
        <v>126</v>
      </c>
      <c r="B128" s="1" t="s">
        <v>610</v>
      </c>
      <c r="C128" s="1" t="s">
        <v>777</v>
      </c>
      <c r="D128" s="1" t="s">
        <v>692</v>
      </c>
      <c r="E128" s="1"/>
      <c r="F128" s="1" t="s">
        <v>792</v>
      </c>
      <c r="G128" s="1" t="s">
        <v>793</v>
      </c>
      <c r="K128" s="1" t="s">
        <v>32</v>
      </c>
      <c r="L128" s="1" t="s">
        <v>194</v>
      </c>
      <c r="M128" s="1" t="s">
        <v>48</v>
      </c>
      <c r="N128" s="5" t="s">
        <v>794</v>
      </c>
      <c r="O128" s="2" t="s">
        <v>607</v>
      </c>
      <c r="Q128" s="1" t="s">
        <v>205</v>
      </c>
      <c r="R128" s="2" t="s">
        <v>108</v>
      </c>
      <c r="S128" s="6" t="s">
        <v>109</v>
      </c>
      <c r="T128" s="1" t="s">
        <v>69</v>
      </c>
      <c r="U128" s="1"/>
      <c r="V128" s="1" t="s">
        <v>79</v>
      </c>
      <c r="W128" s="1" t="n">
        <v>2023</v>
      </c>
      <c r="X128" s="1" t="n">
        <v>2023</v>
      </c>
    </row>
    <row r="129" customFormat="false" ht="15.75" hidden="false" customHeight="false" outlineLevel="0" collapsed="false">
      <c r="A129" s="2" t="n">
        <v>127</v>
      </c>
      <c r="B129" s="1" t="s">
        <v>610</v>
      </c>
      <c r="C129" s="1" t="s">
        <v>777</v>
      </c>
      <c r="D129" s="1" t="s">
        <v>692</v>
      </c>
      <c r="E129" s="1"/>
      <c r="F129" s="1" t="s">
        <v>795</v>
      </c>
      <c r="G129" s="1" t="s">
        <v>796</v>
      </c>
      <c r="J129" s="2" t="s">
        <v>797</v>
      </c>
      <c r="K129" s="1" t="s">
        <v>32</v>
      </c>
      <c r="M129" s="2" t="s">
        <v>33</v>
      </c>
      <c r="N129" s="5" t="s">
        <v>798</v>
      </c>
      <c r="O129" s="2" t="s">
        <v>607</v>
      </c>
      <c r="P129" s="1" t="s">
        <v>799</v>
      </c>
      <c r="Q129" s="1" t="s">
        <v>38</v>
      </c>
      <c r="R129" s="2" t="s">
        <v>108</v>
      </c>
      <c r="S129" s="6" t="s">
        <v>109</v>
      </c>
      <c r="T129" s="1" t="s">
        <v>54</v>
      </c>
      <c r="U129" s="1"/>
      <c r="V129" s="1" t="s">
        <v>79</v>
      </c>
      <c r="W129" s="1" t="n">
        <v>2009</v>
      </c>
      <c r="X129" s="1" t="n">
        <v>2009</v>
      </c>
    </row>
    <row r="130" customFormat="false" ht="15.75" hidden="false" customHeight="false" outlineLevel="0" collapsed="false">
      <c r="A130" s="2" t="n">
        <v>134</v>
      </c>
      <c r="B130" s="2" t="s">
        <v>610</v>
      </c>
      <c r="C130" s="2" t="s">
        <v>90</v>
      </c>
      <c r="D130" s="2" t="s">
        <v>692</v>
      </c>
      <c r="G130" s="2" t="s">
        <v>395</v>
      </c>
      <c r="I130" s="2" t="s">
        <v>113</v>
      </c>
      <c r="O130" s="2" t="s">
        <v>607</v>
      </c>
    </row>
    <row r="131" customFormat="false" ht="15.75" hidden="false" customHeight="false" outlineLevel="0" collapsed="false">
      <c r="A131" s="2" t="n">
        <v>128</v>
      </c>
      <c r="B131" s="2" t="s">
        <v>800</v>
      </c>
      <c r="C131" s="2" t="s">
        <v>57</v>
      </c>
      <c r="D131" s="2" t="s">
        <v>410</v>
      </c>
      <c r="E131" s="2"/>
      <c r="F131" s="2" t="s">
        <v>801</v>
      </c>
      <c r="G131" s="2" t="s">
        <v>801</v>
      </c>
      <c r="J131" s="2" t="s">
        <v>802</v>
      </c>
      <c r="K131" s="2" t="s">
        <v>32</v>
      </c>
      <c r="N131" s="7" t="s">
        <v>803</v>
      </c>
      <c r="O131" s="2" t="s">
        <v>607</v>
      </c>
    </row>
    <row r="132" customFormat="false" ht="15.75" hidden="false" customHeight="false" outlineLevel="0" collapsed="false">
      <c r="A132" s="2" t="n">
        <v>129</v>
      </c>
      <c r="B132" s="2" t="s">
        <v>800</v>
      </c>
      <c r="F132" s="2" t="s">
        <v>804</v>
      </c>
      <c r="G132" s="2" t="s">
        <v>536</v>
      </c>
      <c r="J132" s="2" t="s">
        <v>805</v>
      </c>
      <c r="O132" s="2" t="s">
        <v>607</v>
      </c>
    </row>
    <row r="133" customFormat="false" ht="15.75" hidden="false" customHeight="false" outlineLevel="0" collapsed="false">
      <c r="A133" s="2" t="n">
        <v>130</v>
      </c>
      <c r="B133" s="2" t="s">
        <v>800</v>
      </c>
      <c r="F133" s="2" t="s">
        <v>806</v>
      </c>
      <c r="G133" s="2" t="s">
        <v>807</v>
      </c>
      <c r="H133" s="2" t="s">
        <v>808</v>
      </c>
      <c r="O133" s="2" t="s">
        <v>607</v>
      </c>
    </row>
    <row r="134" customFormat="false" ht="15.75" hidden="false" customHeight="false" outlineLevel="0" collapsed="false">
      <c r="A134" s="2" t="n">
        <v>131</v>
      </c>
      <c r="B134" s="2" t="s">
        <v>800</v>
      </c>
      <c r="F134" s="2" t="s">
        <v>809</v>
      </c>
      <c r="G134" s="2" t="s">
        <v>808</v>
      </c>
      <c r="J134" s="2" t="s">
        <v>805</v>
      </c>
      <c r="O134" s="2" t="s">
        <v>607</v>
      </c>
    </row>
    <row r="135" customFormat="false" ht="15.75" hidden="false" customHeight="false" outlineLevel="0" collapsed="false">
      <c r="A135" s="2" t="n">
        <v>132</v>
      </c>
      <c r="B135" s="2" t="s">
        <v>800</v>
      </c>
      <c r="F135" s="2" t="s">
        <v>810</v>
      </c>
      <c r="G135" s="2" t="s">
        <v>811</v>
      </c>
      <c r="J135" s="2" t="s">
        <v>55</v>
      </c>
      <c r="O135" s="2" t="s">
        <v>607</v>
      </c>
    </row>
    <row r="136" customFormat="false" ht="15.75" hidden="false" customHeight="false" outlineLevel="0" collapsed="false">
      <c r="A136" s="2" t="n">
        <v>133</v>
      </c>
      <c r="B136" s="2" t="s">
        <v>800</v>
      </c>
      <c r="F136" s="2" t="s">
        <v>812</v>
      </c>
      <c r="G136" s="2" t="s">
        <v>813</v>
      </c>
      <c r="O136" s="2" t="s">
        <v>607</v>
      </c>
    </row>
  </sheetData>
  <autoFilter ref="A1:Y978">
    <sortState ref="A2:Y978">
      <sortCondition ref="A2:A978"/>
    </sortState>
  </autoFilter>
  <hyperlinks>
    <hyperlink ref="N2" r:id="rId1" display="https://developers.google.com/earth-engine/datasets/catalog/AAFC_ACI"/>
    <hyperlink ref="N3" r:id="rId2" display="https://data.jrc.ec.europa.eu/dataset/15f86c84-eae1-4723-8e00-c1b35c8f56b9"/>
    <hyperlink ref="N4" r:id="rId3" display="https://www.tandfonline.com/doi/full/10.1080/17474230701622940"/>
    <hyperlink ref="N5" r:id="rId4" display="https://essd.copernicus.org/articles/17/3473/2025/"/>
    <hyperlink ref="N6" r:id="rId5" display="https://www.agriculture.gov.au/abares/aclump/land-use/catchment-scale-land-use-report"/>
    <hyperlink ref="N7" r:id="rId6" display="https://www.prepdata.org/dataset/PREP_0500"/>
    <hyperlink ref="N8" r:id="rId7" display="https://ceos.org/gst/HILDAplus.html"/>
    <hyperlink ref="N9" r:id="rId8" display="https://zenodo.org/records/18180184"/>
    <hyperlink ref="P9" r:id="rId9" display="Yang, J., &amp; Huang, X. (2026). The 30 m annual land cover datasets and its dynamics in China from 1985 to 2025. https://doi.org/10.5281/zenodo.18180184"/>
    <hyperlink ref="N10" r:id="rId10" display="https://luh.umd.edu/index.shtml"/>
    <hyperlink ref="N11" r:id="rId11" display="https://landuse.sites.uu.nl/hyde-project/"/>
    <hyperlink ref="N12" r:id="rId12" display="https://dataverse.harvard.edu/dataset.xhtml?persistentId=doi:10.7910/DVN/6KKAWS"/>
    <hyperlink ref="N13" r:id="rId13" display="https://brasil.mapbiomas.org/en/iniciativas-mapbiomas/"/>
    <hyperlink ref="N14" r:id="rId14" display="https://www.ga.gov.au/scientific-topics/dea/dea-data-and-products/dea-land-cover"/>
    <hyperlink ref="N15" r:id="rId15" display="https://www.earthdata.nasa.gov/data/catalog/ornl-cloud-decadal-lulc-india-1336-1"/>
    <hyperlink ref="N16" r:id="rId16" location="Sec13" display="https://www.nature.com/articles/s41597-022-01307-4#Sec13"/>
    <hyperlink ref="N17" r:id="rId17" display="https://www.earthdata.nasa.gov/news/feature-articles/measuring-worlds-croplands"/>
    <hyperlink ref="N18" r:id="rId18" display="https://developers.google.com/earth-engine/datasets/catalog/USDA_NASS_CDL"/>
    <hyperlink ref="N19" r:id="rId19" display="https://agri4cast.jrc.ec.europa.eu/dataportal"/>
    <hyperlink ref="N20" r:id="rId20" display="https://zenodo.org/records/7875105"/>
    <hyperlink ref="N21" r:id="rId21" display="https://figshare.com/articles/dataset/CROPGRIDS/22491997"/>
    <hyperlink ref="N22" r:id="rId22" display="http://www.earthstat.org/harvested-area-yield-175-crops/"/>
    <hyperlink ref="N23" r:id="rId23" display="https://www.nature.com/articles/s41597-023-02517-0"/>
    <hyperlink ref="N24" r:id="rId24" display="https://gaez.fao.org/pages/agromaps"/>
    <hyperlink ref="N25" r:id="rId25" display="https://zenodo.org/records/13984185"/>
    <hyperlink ref="N26" r:id="rId26" display="https://dataverse.harvard.edu/dataset.xhtml?persistentId=doi:10.7910/DVN/ZWSFAA"/>
    <hyperlink ref="N27" r:id="rId27" display="https://deafrica.africageoportal.com/datasets/bc6a9440f3cb41d6904b2c8831745903/about"/>
    <hyperlink ref="N28" r:id="rId28" display="https://land.copernicus.eu/en/products/high-resolution-layer-croplands/fallow-land-presence-2023-raster-10-m-europe-yearly"/>
    <hyperlink ref="N29" r:id="rId29" display="https://landcarbonlab.org/data/global-cropland-change/"/>
    <hyperlink ref="N30" r:id="rId30" display="https://sage.nelson.wisc.edu/data-and-models/datasets/historic-croplands-dataset-1700-1992/"/>
    <hyperlink ref="N31" r:id="rId31" display="https://journals.plos.org/plosone/article?id=10.1371/journal.pone.0184479"/>
    <hyperlink ref="N32" r:id="rId32" display="https://zenodo.org/records/17828801"/>
    <hyperlink ref="N33" r:id="rId33" display="https://figshare.com/articles/dataset/NPKGRIDS/24616050/4"/>
    <hyperlink ref="N34" r:id="rId34" location="readme" display="https://datadryad.org/dataset/doi:10.5061/dryad.2rbnzs7qh#readme"/>
    <hyperlink ref="N35" r:id="rId35" display="https://data.tpdc.ac.cn/en/data/1e31ad1f-5904-4b49-8796-b379c37e7dba"/>
    <hyperlink ref="N36" r:id="rId36" location=".YqlfS3ZBy5d" display="https://zenodo.org/records/5260732#.YqlfS3ZBy5d"/>
    <hyperlink ref="N37" r:id="rId37" display="https://www.nature.com/articles/nature15743"/>
    <hyperlink ref="N38" r:id="rId38" location="data/RFN" display="https://www.fao.org/faostat/en/#data/RFN"/>
    <hyperlink ref="N39" r:id="rId39" location="data/ESB" display="https://www.fao.org/faostat/en/#data/ESB"/>
    <hyperlink ref="N40" r:id="rId40" display="https://dataverse.harvard.edu/dataset.xhtml?persistentId=doi:10.7910/DVN/P8MWOW"/>
    <hyperlink ref="N41" r:id="rId41" display="https://springernature.figshare.com/collections/Crop_production_and_nitrogen_use_in_European_cropland_and_grassland_1961-2019/5320772"/>
    <hyperlink ref="N42" r:id="rId42" location="/metadata/edbbd466-b845-4e4c-acf9-905ec5e28766" display="https://sdi.eea.europa.eu/catalogue/srv/eng/catalog.search#/metadata/edbbd466-b845-4e4c-acf9-905ec5e28766"/>
    <hyperlink ref="N43" r:id="rId43" display="https://ctic.org/optis/grasslands/vegetation-types/"/>
    <hyperlink ref="N44" r:id="rId44" display="https://land.copernicus.eu/en/products/high-resolution-layer-grasslands?tab=overview"/>
    <hyperlink ref="N45" r:id="rId45" display="https://data.fs.usda.gov/geodata/rastergateway/rangelands/index.php"/>
    <hyperlink ref="N46" r:id="rId46" display="https://zenodo.org/records/15646181"/>
    <hyperlink ref="N47" r:id="rId47" display="https://agri4cast.jrc.ec.europa.eu/dataportal"/>
    <hyperlink ref="N48" r:id="rId48" location="dataset-preprocessing" display="https://gee-community-catalog.org/projects/gci30/#dataset-preprocessing"/>
    <hyperlink ref="N49" r:id="rId49" display="https://pure.iiasa.ac.at/id/eprint/15526/"/>
    <hyperlink ref="N50" r:id="rId50" display="https://www.nature.com/articles/s41597-024-03456-0?fromPaywallRec=false"/>
    <hyperlink ref="N51" r:id="rId51" display="https://www.nature.com/articles/s41597-021-01065-9"/>
    <hyperlink ref="N52" r:id="rId52" display="https://lcluc.umd.edu/metadata/conterminous-united-states-conus-field-extraction"/>
    <hyperlink ref="Y52" r:id="rId53" display="https://www.dropbox.com/scl/fi/9hr10 mzm3tvs4ql4rqd1f/ReleaseData.7z?dl=0%0A7-zip+compressed+file+size+249MB+(uncompressed+42GB)%0A&amp;e=1&amp;rlkey=69c2ivhqmzi8k1mdd1bl62xz9"/>
    <hyperlink ref="N53" r:id="rId54" display="https://www.microsoft.com/en-us/research/wp-content/uploads/2026/04/FTW_Global_Map_v1.1.pdf"/>
    <hyperlink ref="N54" r:id="rId55" display="https://datadryad.org/share/0OQ59-ZZKmzDgcWs-qySOeckvainNTyILzyeuZIZH6w"/>
    <hyperlink ref="N55" r:id="rId56" display="https://onlinelibrary.wiley.com/doi/10.1111/gcb.12838"/>
    <hyperlink ref="N56" r:id="rId57" display="https://ec.europa.eu/eurostat/databrowser/view/aei_ps_inp/default/table?lang=en&amp;category=agr.aei.aei_char"/>
    <hyperlink ref="N57" r:id="rId58" display="https://data-explorer.oecd.org/vis?lc=en&amp;df[ds]=dsDisseminateFinalDMZ&amp;df[id]=DSD_AGRI_ENV%40DF_AEI&amp;df[ag]=OECD.TAD.ARP&amp;dq=.A.TOTAGR_LAND....&amp;pd=2012%2C&amp;to[TIME_PERIOD]=false"/>
    <hyperlink ref="N58" r:id="rId59" display="https://ourworldindata.org/grapher/machinery-per-agricultural-land"/>
    <hyperlink ref="N59" r:id="rId60" display="https://ourworldindata.org/grapher/average-farm-size?country=&amp;globe=1&amp;globeRotation=9.47%2C-301.66"/>
    <hyperlink ref="N60" r:id="rId61" display="https://www.mapspam.info/data/"/>
    <hyperlink ref="N61" r:id="rId62" display="https://www.uni-frankfurt.de/45218023/MIRCA"/>
    <hyperlink ref="N62" r:id="rId63" display="https://ec.europa.eu/eurostat/web/experimental-statistics/geospatial-data-agricultural-census"/>
    <hyperlink ref="N63" r:id="rId64" display="https://www.fao.org/aquastat/en/geospatial-information/global-maps-irrigated-areas/latest-version/"/>
    <hyperlink ref="N64" r:id="rId65" display="https://land.copernicus.eu/en/products/high-resolution-layer-grasslands/ploughing-indicator-2023-raster-10-m-europe-yearly"/>
    <hyperlink ref="N65" r:id="rId66" location="/metadata/b3ea4f87-3472-4c29-9724-78585b416188" display="https://sdi.eea.europa.eu/catalogue/srv/eng/catalog.search#/metadata/b3ea4f87-3472-4c29-9724-78585b416188"/>
    <hyperlink ref="N66" r:id="rId67" display="https://www.usgs.gov/special-topics/monitoring-vegetation-drought-stress/science/moderate-resolution-imaging"/>
    <hyperlink ref="N67" r:id="rId68" location="data/EK" display="https://www.fao.org/faostat/en/#data/EK"/>
    <hyperlink ref="N68" r:id="rId69" display="https://ec.europa.eu/eurostat/statistics-explained/index.php?title=Glossary:Grazing_livestock_density_index"/>
    <hyperlink ref="N69" r:id="rId70" display="https://www.nature.com/articles/sdata2018227"/>
    <hyperlink ref="N70" r:id="rId71" display="https://doi.org/10.5281/zenodo.11058509"/>
    <hyperlink ref="N71" r:id="rId72" display="https://zenodo.org/records/17128483"/>
    <hyperlink ref="N72" r:id="rId73" display="https://figshare.com/articles/dataset/Pesticides_application_rate_maps_in_the_European_Union_at_high_spatial_resolution/27743286"/>
    <hyperlink ref="N73" r:id="rId74" location="data/RP" display="https://www.fao.org/faostat/en/#data/RP"/>
    <hyperlink ref="N74" r:id="rId75" display="https://water.usgs.gov/nawqa/pnsp/usage/maps/"/>
    <hyperlink ref="N75" r:id="rId76" display="https://ec.europa.eu/eurostat/databrowser/explore/all/agric?sort=category&amp;lang=en&amp;subtheme=agr.aei.aei_pes&amp;display=list"/>
    <hyperlink ref="N76" r:id="rId77" display="https://figshare.com/articles/dataset/PESTCHEMGRIDS_v2_01_beta_version_/25854769"/>
    <hyperlink ref="N80" r:id="rId78" display="https://glad.umd.edu/dataset/long-term-global-land-change"/>
    <hyperlink ref="N83" r:id="rId79" display="https://zenodo.org/records/15366671"/>
    <hyperlink ref="N84" r:id="rId80" display="https://www.science.org/doi/10.1126/science.1244693"/>
    <hyperlink ref="N85" r:id="rId81" display="https://www.science.org/doi/10.1126/sciadv.1600821"/>
    <hyperlink ref="N86" r:id="rId82" display="https://www.earthdata.nasa.gov/data/catalog/sedac-ciesin-sedac-lwp2-hii-geog-2.0"/>
    <hyperlink ref="N87" r:id="rId83" location="Sec8" display="https://www.nature.com/articles/s41597-025-05246-8#Sec8"/>
    <hyperlink ref="N88" r:id="rId84" display="https://www.nature.com/articles/s41893-020-00631-0"/>
    <hyperlink ref="N89" r:id="rId85" location="Sec2" display="https://www.nature.com/articles/s41597-024-04139-6#Sec2"/>
    <hyperlink ref="N90" r:id="rId86" location="s0010" display="https://www.sciencedirect.com/science/article/pii/S0034425717301244#s0010"/>
    <hyperlink ref="N91" r:id="rId87" display="https://deepmind.google/blog/alphaearth-foundations-helps-map-our-planet-in-unprecedented-detail/"/>
    <hyperlink ref="N92" r:id="rId88" display="https://land.copernicus.eu/en/products/corine-land-cover"/>
    <hyperlink ref="N93" r:id="rId89" display="https://human-settlement.emergency.copernicus.eu/ghs_pop2023.php"/>
    <hyperlink ref="N95" r:id="rId90" display="https://dataverse.harvard.edu/dataset.xhtml?persistentId=doi:10.7910/DVN/USMCOR"/>
    <hyperlink ref="N96" r:id="rId91" location="Sec2" display="https://www.nature.com/articles/s41597-025-04817-z#Sec2"/>
    <hyperlink ref="N106" r:id="rId92" display="https://www.dess.tsinghua.edu.cn/info/1120/1418.htm"/>
    <hyperlink ref="N116" r:id="rId93" display="https://human-settlement.emergency.copernicus.eu/ghs_smod2023.php"/>
    <hyperlink ref="N117" r:id="rId94" display="https://gee-community-catalog.org/projects/giulu/"/>
    <hyperlink ref="N118" r:id="rId95" display="https://human-settlement.emergency.copernicus.eu/esm_R2019.php"/>
    <hyperlink ref="P118" r:id="rId96" display="Corbane C., Sabo F. (2019):&#10; European Settlement Map from Copernicus Very High Resolution data for reference year 2015, Public Release 2019.European Commission, Joint Research Centre (JRC)doi: 10.2905/8BD2B792-CC33-4C11-AFD1-B8DD60B44F3B PID: http://data.europa.eu/89h/8bd2b792-cc33-4c11-afd1-b8dd60b44f3b"/>
    <hyperlink ref="N121" r:id="rId97" display="https://www.earthdata.nasa.gov/data/catalog/ornl-cloud-potential-veg-xdeg-961-1"/>
    <hyperlink ref="N122" r:id="rId98" display="https://www.earthdata.nasa.gov/data/catalog/sedac-ciesin-sedac-hanpp-1.0"/>
    <hyperlink ref="N123" r:id="rId99" display="https://www.earthdata.nasa.gov/data/catalog/lpcloud-mod17a3hgf-061"/>
    <hyperlink ref="N124" r:id="rId100" display="https://www.pnas.org/doi/10.1073/pnas.012249999"/>
    <hyperlink ref="N125" r:id="rId101" display="https://www.fao.org/soils-portal/data-hub/soil-maps-and-databases/global-soil-organic-carbon-map-gsocmap/en/"/>
    <hyperlink ref="N126" r:id="rId102" display="https://www.fao.org/soils-portal/data-hub/soil-maps-and-databases/global-map-of-salt-affected-soils/en/"/>
    <hyperlink ref="N127" r:id="rId103" display="https://isric.org/explore/soilgrids"/>
    <hyperlink ref="N128" r:id="rId104" display="https://www.fao.org/soils-portal/data-hub/soil-maps-and-databases/harmonized-world-soil-database-v20/en/"/>
    <hyperlink ref="N129" r:id="rId105" display="https://esdac.jrc.ec.europa.eu/content/lucas-2009-topsoil-data"/>
    <hyperlink ref="N131" r:id="rId106" display="https://www.nasaharvest.org/"/>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0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D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customHeight="true" zeroHeight="false" outlineLevelRow="0" outlineLevelCol="0"/>
  <sheetData>
    <row r="1" customFormat="false" ht="15.75" hidden="false" customHeight="false" outlineLevel="0" collapsed="false">
      <c r="A1" s="2" t="s">
        <v>814</v>
      </c>
      <c r="B1" s="2" t="s">
        <v>815</v>
      </c>
      <c r="C1" s="2" t="s">
        <v>816</v>
      </c>
      <c r="D1" s="2" t="s">
        <v>817</v>
      </c>
    </row>
    <row r="2" customFormat="false" ht="15.75" hidden="false" customHeight="false" outlineLevel="0" collapsed="false">
      <c r="A2" s="2" t="s">
        <v>818</v>
      </c>
      <c r="B2" s="2" t="s">
        <v>8</v>
      </c>
      <c r="C2" s="2" t="s">
        <v>818</v>
      </c>
      <c r="D2" s="2" t="s">
        <v>819</v>
      </c>
    </row>
    <row r="3" customFormat="false" ht="15.75" hidden="false" customHeight="false" outlineLevel="0" collapsed="false">
      <c r="A3" s="2" t="s">
        <v>820</v>
      </c>
      <c r="B3" s="2" t="s">
        <v>8</v>
      </c>
      <c r="C3" s="2" t="str">
        <f aca="false">LEFT(A3,FIND("-",A3) - 1)</f>
        <v>Deimos</v>
      </c>
    </row>
    <row r="4" customFormat="false" ht="15.75" hidden="false" customHeight="false" outlineLevel="0" collapsed="false">
      <c r="A4" s="2" t="s">
        <v>821</v>
      </c>
      <c r="B4" s="2" t="s">
        <v>8</v>
      </c>
      <c r="C4" s="2" t="str">
        <f aca="false">LEFT(A4,FIND("-",A4) - 1)</f>
        <v>Deimos</v>
      </c>
    </row>
    <row r="5" customFormat="false" ht="15.75" hidden="false" customHeight="false" outlineLevel="0" collapsed="false">
      <c r="A5" s="2" t="s">
        <v>714</v>
      </c>
      <c r="B5" s="2" t="s">
        <v>8</v>
      </c>
      <c r="C5" s="2" t="s">
        <v>714</v>
      </c>
      <c r="D5" s="2" t="s">
        <v>822</v>
      </c>
    </row>
    <row r="6" customFormat="false" ht="15.75" hidden="false" customHeight="false" outlineLevel="0" collapsed="false">
      <c r="A6" s="2" t="s">
        <v>823</v>
      </c>
      <c r="B6" s="2" t="s">
        <v>8</v>
      </c>
      <c r="C6" s="2" t="s">
        <v>823</v>
      </c>
      <c r="D6" s="2" t="s">
        <v>822</v>
      </c>
    </row>
    <row r="7" customFormat="false" ht="15.75" hidden="false" customHeight="false" outlineLevel="0" collapsed="false">
      <c r="A7" s="2" t="s">
        <v>824</v>
      </c>
      <c r="B7" s="2" t="s">
        <v>8</v>
      </c>
      <c r="C7" s="2" t="s">
        <v>824</v>
      </c>
    </row>
    <row r="8" customFormat="false" ht="15.75" hidden="false" customHeight="false" outlineLevel="0" collapsed="false">
      <c r="A8" s="2" t="s">
        <v>825</v>
      </c>
      <c r="B8" s="2" t="s">
        <v>8</v>
      </c>
      <c r="C8" s="2" t="s">
        <v>826</v>
      </c>
    </row>
    <row r="9" customFormat="false" ht="15.75" hidden="false" customHeight="false" outlineLevel="0" collapsed="false">
      <c r="A9" s="2" t="s">
        <v>827</v>
      </c>
      <c r="B9" s="2" t="s">
        <v>8</v>
      </c>
      <c r="C9" s="2" t="str">
        <f aca="false">LEFT(A9,FIND("-",A9) - 1)</f>
        <v>HJ</v>
      </c>
    </row>
    <row r="10" customFormat="false" ht="15.75" hidden="false" customHeight="false" outlineLevel="0" collapsed="false">
      <c r="A10" s="2" t="s">
        <v>828</v>
      </c>
      <c r="B10" s="2" t="s">
        <v>8</v>
      </c>
      <c r="C10" s="2" t="str">
        <f aca="false">LEFT(A10,FIND("-",A10) - 1)</f>
        <v>HJ</v>
      </c>
    </row>
    <row r="11" customFormat="false" ht="15.75" hidden="false" customHeight="false" outlineLevel="0" collapsed="false">
      <c r="A11" s="2" t="s">
        <v>829</v>
      </c>
      <c r="B11" s="2" t="s">
        <v>8</v>
      </c>
      <c r="C11" s="1" t="str">
        <f aca="false">LEFT(A11,FIND("-",A11) - 1)</f>
        <v>IRS</v>
      </c>
      <c r="D11" s="2" t="s">
        <v>830</v>
      </c>
    </row>
    <row r="12" customFormat="false" ht="15.75" hidden="false" customHeight="false" outlineLevel="0" collapsed="false">
      <c r="A12" s="2" t="s">
        <v>831</v>
      </c>
      <c r="B12" s="2" t="s">
        <v>8</v>
      </c>
      <c r="C12" s="1" t="str">
        <f aca="false">LEFT(A12,FIND("-",A12) - 1)</f>
        <v>IRS</v>
      </c>
      <c r="D12" s="2" t="s">
        <v>830</v>
      </c>
    </row>
    <row r="13" customFormat="false" ht="15.75" hidden="false" customHeight="false" outlineLevel="0" collapsed="false">
      <c r="A13" s="2" t="s">
        <v>113</v>
      </c>
      <c r="B13" s="2" t="s">
        <v>8</v>
      </c>
      <c r="C13" s="2" t="s">
        <v>113</v>
      </c>
      <c r="D13" s="2" t="s">
        <v>802</v>
      </c>
    </row>
    <row r="14" customFormat="false" ht="15.75" hidden="false" customHeight="false" outlineLevel="0" collapsed="false">
      <c r="A14" s="2" t="s">
        <v>832</v>
      </c>
      <c r="B14" s="2" t="s">
        <v>8</v>
      </c>
      <c r="C14" s="2" t="s">
        <v>113</v>
      </c>
      <c r="D14" s="2" t="s">
        <v>802</v>
      </c>
    </row>
    <row r="15" customFormat="false" ht="15.75" hidden="false" customHeight="false" outlineLevel="0" collapsed="false">
      <c r="A15" s="2" t="s">
        <v>833</v>
      </c>
      <c r="B15" s="2" t="s">
        <v>8</v>
      </c>
      <c r="C15" s="2" t="s">
        <v>113</v>
      </c>
      <c r="D15" s="2" t="s">
        <v>802</v>
      </c>
    </row>
    <row r="16" customFormat="false" ht="15.75" hidden="false" customHeight="false" outlineLevel="0" collapsed="false">
      <c r="A16" s="2" t="s">
        <v>833</v>
      </c>
      <c r="B16" s="2" t="s">
        <v>8</v>
      </c>
      <c r="C16" s="2" t="s">
        <v>113</v>
      </c>
      <c r="D16" s="2" t="s">
        <v>802</v>
      </c>
    </row>
    <row r="17" customFormat="false" ht="15.75" hidden="false" customHeight="false" outlineLevel="0" collapsed="false">
      <c r="A17" s="2" t="s">
        <v>834</v>
      </c>
      <c r="B17" s="2" t="s">
        <v>8</v>
      </c>
      <c r="C17" s="2" t="s">
        <v>113</v>
      </c>
      <c r="D17" s="2" t="s">
        <v>802</v>
      </c>
    </row>
    <row r="18" customFormat="false" ht="15.75" hidden="false" customHeight="false" outlineLevel="0" collapsed="false">
      <c r="A18" s="2" t="s">
        <v>834</v>
      </c>
      <c r="B18" s="2" t="s">
        <v>8</v>
      </c>
      <c r="C18" s="2" t="s">
        <v>113</v>
      </c>
      <c r="D18" s="2" t="s">
        <v>802</v>
      </c>
    </row>
    <row r="19" customFormat="false" ht="15.75" hidden="false" customHeight="false" outlineLevel="0" collapsed="false">
      <c r="A19" s="2" t="s">
        <v>835</v>
      </c>
      <c r="B19" s="2" t="s">
        <v>8</v>
      </c>
      <c r="C19" s="2" t="s">
        <v>113</v>
      </c>
      <c r="D19" s="2" t="s">
        <v>802</v>
      </c>
    </row>
    <row r="20" customFormat="false" ht="15.75" hidden="false" customHeight="false" outlineLevel="0" collapsed="false">
      <c r="A20" s="2" t="s">
        <v>835</v>
      </c>
      <c r="B20" s="2" t="s">
        <v>8</v>
      </c>
      <c r="C20" s="2" t="s">
        <v>113</v>
      </c>
      <c r="D20" s="2" t="s">
        <v>802</v>
      </c>
    </row>
    <row r="21" customFormat="false" ht="15.75" hidden="false" customHeight="false" outlineLevel="0" collapsed="false">
      <c r="A21" s="2" t="s">
        <v>836</v>
      </c>
      <c r="B21" s="2" t="s">
        <v>8</v>
      </c>
      <c r="C21" s="2" t="s">
        <v>113</v>
      </c>
      <c r="D21" s="2" t="s">
        <v>802</v>
      </c>
    </row>
    <row r="22" customFormat="false" ht="15.75" hidden="false" customHeight="false" outlineLevel="0" collapsed="false">
      <c r="A22" s="2" t="s">
        <v>636</v>
      </c>
      <c r="B22" s="2" t="s">
        <v>8</v>
      </c>
      <c r="C22" s="2" t="s">
        <v>113</v>
      </c>
      <c r="D22" s="2" t="s">
        <v>802</v>
      </c>
    </row>
    <row r="23" customFormat="false" ht="15.75" hidden="false" customHeight="false" outlineLevel="0" collapsed="false">
      <c r="A23" s="2" t="s">
        <v>837</v>
      </c>
      <c r="B23" s="2" t="s">
        <v>8</v>
      </c>
      <c r="C23" s="2" t="s">
        <v>113</v>
      </c>
      <c r="D23" s="2" t="s">
        <v>802</v>
      </c>
    </row>
    <row r="24" customFormat="false" ht="15.75" hidden="false" customHeight="false" outlineLevel="0" collapsed="false">
      <c r="A24" s="2" t="s">
        <v>73</v>
      </c>
      <c r="B24" s="2" t="s">
        <v>8</v>
      </c>
      <c r="C24" s="2" t="s">
        <v>802</v>
      </c>
      <c r="D24" s="2" t="s">
        <v>802</v>
      </c>
    </row>
    <row r="25" customFormat="false" ht="15.75" hidden="false" customHeight="false" outlineLevel="0" collapsed="false">
      <c r="A25" s="2" t="s">
        <v>698</v>
      </c>
      <c r="B25" s="2" t="s">
        <v>8</v>
      </c>
      <c r="C25" s="2" t="s">
        <v>838</v>
      </c>
      <c r="D25" s="2" t="s">
        <v>838</v>
      </c>
    </row>
    <row r="26" customFormat="false" ht="15.75" hidden="false" customHeight="false" outlineLevel="0" collapsed="false">
      <c r="A26" s="2" t="s">
        <v>839</v>
      </c>
      <c r="B26" s="2" t="s">
        <v>8</v>
      </c>
      <c r="C26" s="1" t="str">
        <f aca="false">LEFT(A26,FIND("-",A26) - 1)</f>
        <v>NOAA</v>
      </c>
      <c r="D26" s="2" t="s">
        <v>838</v>
      </c>
    </row>
    <row r="27" customFormat="false" ht="15.75" hidden="false" customHeight="false" outlineLevel="0" collapsed="false">
      <c r="A27" s="2" t="s">
        <v>840</v>
      </c>
      <c r="B27" s="2" t="s">
        <v>8</v>
      </c>
      <c r="C27" s="1" t="str">
        <f aca="false">LEFT(A27,FIND("-",A27) - 1)</f>
        <v>NOAA</v>
      </c>
      <c r="D27" s="2" t="s">
        <v>838</v>
      </c>
    </row>
    <row r="28" customFormat="false" ht="15.75" hidden="false" customHeight="false" outlineLevel="0" collapsed="false">
      <c r="A28" s="2" t="s">
        <v>841</v>
      </c>
      <c r="B28" s="2" t="s">
        <v>8</v>
      </c>
      <c r="C28" s="2" t="s">
        <v>842</v>
      </c>
    </row>
    <row r="29" customFormat="false" ht="15.75" hidden="false" customHeight="false" outlineLevel="0" collapsed="false">
      <c r="A29" s="2" t="s">
        <v>843</v>
      </c>
      <c r="B29" s="2" t="s">
        <v>8</v>
      </c>
      <c r="C29" s="2" t="s">
        <v>843</v>
      </c>
      <c r="D29" s="2" t="s">
        <v>844</v>
      </c>
    </row>
    <row r="30" customFormat="false" ht="15.75" hidden="false" customHeight="false" outlineLevel="0" collapsed="false">
      <c r="A30" s="2" t="s">
        <v>845</v>
      </c>
      <c r="B30" s="2" t="s">
        <v>8</v>
      </c>
      <c r="C30" s="1" t="str">
        <f aca="false">LEFT(A30,FIND("-",A30) - 1)</f>
        <v>RADARSAT</v>
      </c>
      <c r="D30" s="2" t="s">
        <v>844</v>
      </c>
    </row>
    <row r="31" customFormat="false" ht="15.75" hidden="false" customHeight="false" outlineLevel="0" collapsed="false">
      <c r="A31" s="2" t="s">
        <v>846</v>
      </c>
      <c r="B31" s="2" t="s">
        <v>8</v>
      </c>
      <c r="C31" s="2" t="s">
        <v>846</v>
      </c>
    </row>
    <row r="32" customFormat="false" ht="15.75" hidden="false" customHeight="false" outlineLevel="0" collapsed="false">
      <c r="A32" s="2" t="s">
        <v>847</v>
      </c>
      <c r="B32" s="2" t="s">
        <v>8</v>
      </c>
      <c r="C32" s="1" t="str">
        <f aca="false">LEFT(A32,FIND("-",A32) - 1)</f>
        <v>ResourceSat</v>
      </c>
      <c r="D32" s="2" t="s">
        <v>830</v>
      </c>
    </row>
    <row r="33" customFormat="false" ht="15.75" hidden="false" customHeight="false" outlineLevel="0" collapsed="false">
      <c r="A33" s="2" t="s">
        <v>848</v>
      </c>
      <c r="B33" s="2" t="s">
        <v>8</v>
      </c>
      <c r="C33" s="1" t="str">
        <f aca="false">LEFT(A33,FIND("-",A33) - 1)</f>
        <v>ResourceSat</v>
      </c>
      <c r="D33" s="2" t="s">
        <v>830</v>
      </c>
    </row>
    <row r="34" customFormat="false" ht="15.75" hidden="false" customHeight="false" outlineLevel="0" collapsed="false">
      <c r="A34" s="2" t="s">
        <v>849</v>
      </c>
      <c r="B34" s="2" t="s">
        <v>8</v>
      </c>
      <c r="C34" s="1" t="str">
        <f aca="false">LEFT(A34,FIND("-",A34) - 1)</f>
        <v>Sentinel</v>
      </c>
    </row>
    <row r="35" customFormat="false" ht="15.75" hidden="false" customHeight="false" outlineLevel="0" collapsed="false">
      <c r="A35" s="2" t="s">
        <v>177</v>
      </c>
      <c r="B35" s="2" t="s">
        <v>8</v>
      </c>
      <c r="C35" s="1" t="str">
        <f aca="false">LEFT(A35,FIND("-",A35) - 1)</f>
        <v>Sentinel</v>
      </c>
    </row>
    <row r="36" customFormat="false" ht="15.75" hidden="false" customHeight="false" outlineLevel="0" collapsed="false">
      <c r="A36" s="2" t="s">
        <v>850</v>
      </c>
      <c r="B36" s="2" t="s">
        <v>8</v>
      </c>
      <c r="C36" s="2" t="s">
        <v>850</v>
      </c>
    </row>
    <row r="37" customFormat="false" ht="15.75" hidden="false" customHeight="false" outlineLevel="0" collapsed="false">
      <c r="A37" s="2" t="s">
        <v>700</v>
      </c>
      <c r="B37" s="2" t="s">
        <v>8</v>
      </c>
      <c r="C37" s="2" t="s">
        <v>850</v>
      </c>
    </row>
    <row r="38" customFormat="false" ht="15.75" hidden="false" customHeight="false" outlineLevel="0" collapsed="false">
      <c r="A38" s="2" t="s">
        <v>851</v>
      </c>
      <c r="B38" s="2" t="s">
        <v>8</v>
      </c>
      <c r="C38" s="2" t="s">
        <v>850</v>
      </c>
    </row>
    <row r="39" customFormat="false" ht="15.75" hidden="false" customHeight="false" outlineLevel="0" collapsed="false">
      <c r="A39" s="2" t="s">
        <v>852</v>
      </c>
      <c r="B39" s="2" t="s">
        <v>8</v>
      </c>
      <c r="C39" s="2" t="s">
        <v>850</v>
      </c>
    </row>
    <row r="40" customFormat="false" ht="15.75" hidden="false" customHeight="false" outlineLevel="0" collapsed="false">
      <c r="A40" s="2" t="s">
        <v>853</v>
      </c>
      <c r="B40" s="2" t="s">
        <v>8</v>
      </c>
      <c r="C40" s="2" t="s">
        <v>850</v>
      </c>
    </row>
    <row r="41" customFormat="false" ht="15.75" hidden="false" customHeight="false" outlineLevel="0" collapsed="false">
      <c r="A41" s="2" t="s">
        <v>854</v>
      </c>
      <c r="B41" s="2" t="s">
        <v>8</v>
      </c>
      <c r="C41" s="2" t="s">
        <v>855</v>
      </c>
      <c r="D41" s="2" t="s">
        <v>855</v>
      </c>
    </row>
    <row r="42" customFormat="false" ht="15.75" hidden="false" customHeight="false" outlineLevel="0" collapsed="false">
      <c r="A42" s="2" t="s">
        <v>427</v>
      </c>
      <c r="B42" s="2" t="s">
        <v>8</v>
      </c>
      <c r="C42" s="2" t="s">
        <v>856</v>
      </c>
    </row>
    <row r="43" customFormat="false" ht="15.75" hidden="false" customHeight="false" outlineLevel="0" collapsed="false">
      <c r="A43" s="2" t="s">
        <v>857</v>
      </c>
      <c r="B43" s="2" t="s">
        <v>8</v>
      </c>
      <c r="C43" s="1" t="str">
        <f aca="false">LEFT(A43,FIND("-",A43) - 1)</f>
        <v>Worldview</v>
      </c>
      <c r="D43" s="2" t="s">
        <v>858</v>
      </c>
    </row>
    <row r="44" customFormat="false" ht="15.75" hidden="false" customHeight="false" outlineLevel="0" collapsed="false">
      <c r="A44" s="2" t="s">
        <v>859</v>
      </c>
      <c r="B44" s="2" t="s">
        <v>8</v>
      </c>
      <c r="C44" s="1" t="str">
        <f aca="false">LEFT(A44,FIND("-",A44) - 1)</f>
        <v>Worldview</v>
      </c>
      <c r="D44" s="2" t="s">
        <v>858</v>
      </c>
    </row>
    <row r="45" customFormat="false" ht="15.75" hidden="false" customHeight="false" outlineLevel="0" collapsed="false">
      <c r="A45" s="2" t="s">
        <v>241</v>
      </c>
      <c r="B45" s="2" t="s">
        <v>9</v>
      </c>
      <c r="C45" s="2" t="s">
        <v>622</v>
      </c>
    </row>
    <row r="46" customFormat="false" ht="15.75" hidden="false" customHeight="false" outlineLevel="0" collapsed="false">
      <c r="A46" s="2" t="s">
        <v>144</v>
      </c>
      <c r="B46" s="2" t="s">
        <v>9</v>
      </c>
      <c r="C46" s="2" t="s">
        <v>622</v>
      </c>
      <c r="D46" s="2" t="s">
        <v>860</v>
      </c>
    </row>
    <row r="47" customFormat="false" ht="15.75" hidden="false" customHeight="false" outlineLevel="0" collapsed="false">
      <c r="A47" s="2" t="s">
        <v>861</v>
      </c>
      <c r="B47" s="2" t="s">
        <v>9</v>
      </c>
    </row>
    <row r="48" customFormat="false" ht="15.75" hidden="false" customHeight="false" outlineLevel="0" collapsed="false">
      <c r="A48" s="2" t="s">
        <v>862</v>
      </c>
      <c r="B48" s="2" t="s">
        <v>9</v>
      </c>
    </row>
    <row r="49" customFormat="false" ht="15.75" hidden="false" customHeight="false" outlineLevel="0" collapsed="false">
      <c r="A49" s="2" t="s">
        <v>232</v>
      </c>
      <c r="B49" s="2" t="s">
        <v>9</v>
      </c>
    </row>
    <row r="50" customFormat="false" ht="15.75" hidden="false" customHeight="false" outlineLevel="0" collapsed="false">
      <c r="A50" s="2" t="s">
        <v>475</v>
      </c>
      <c r="B50" s="2" t="s">
        <v>9</v>
      </c>
      <c r="C50" s="2" t="s">
        <v>475</v>
      </c>
      <c r="D50" s="2" t="s">
        <v>55</v>
      </c>
    </row>
    <row r="51" customFormat="false" ht="15.75" hidden="false" customHeight="false" outlineLevel="0" collapsed="false">
      <c r="A51" s="2" t="s">
        <v>622</v>
      </c>
      <c r="B51" s="2" t="s">
        <v>9</v>
      </c>
      <c r="C51" s="2" t="s">
        <v>622</v>
      </c>
      <c r="D51" s="2" t="s">
        <v>860</v>
      </c>
    </row>
    <row r="52" customFormat="false" ht="15.75" hidden="false" customHeight="false" outlineLevel="0" collapsed="false">
      <c r="A52" s="2" t="s">
        <v>863</v>
      </c>
      <c r="B52" s="2" t="s">
        <v>9</v>
      </c>
      <c r="C52" s="2" t="s">
        <v>622</v>
      </c>
      <c r="D52" s="2" t="s">
        <v>860</v>
      </c>
    </row>
    <row r="53" customFormat="false" ht="15.75" hidden="false" customHeight="false" outlineLevel="0" collapsed="false">
      <c r="A53" s="2" t="s">
        <v>104</v>
      </c>
      <c r="B53" s="2" t="s">
        <v>9</v>
      </c>
      <c r="C53" s="2" t="s">
        <v>622</v>
      </c>
      <c r="D53" s="2" t="s">
        <v>860</v>
      </c>
    </row>
    <row r="54" customFormat="false" ht="15.75" hidden="false" customHeight="false" outlineLevel="0" collapsed="false">
      <c r="A54" s="2" t="s">
        <v>864</v>
      </c>
      <c r="B54" s="2" t="s">
        <v>9</v>
      </c>
      <c r="C54" s="2" t="s">
        <v>622</v>
      </c>
    </row>
    <row r="55" customFormat="false" ht="15.75" hidden="false" customHeight="false" outlineLevel="0" collapsed="false">
      <c r="A55" s="2" t="s">
        <v>865</v>
      </c>
      <c r="B55" s="2" t="s">
        <v>9</v>
      </c>
    </row>
    <row r="56" customFormat="false" ht="15.75" hidden="false" customHeight="false" outlineLevel="0" collapsed="false">
      <c r="A56" s="2" t="s">
        <v>866</v>
      </c>
      <c r="B56" s="2" t="s">
        <v>9</v>
      </c>
      <c r="C56" s="2" t="s">
        <v>55</v>
      </c>
    </row>
    <row r="57" customFormat="false" ht="15.75" hidden="false" customHeight="false" outlineLevel="0" collapsed="false">
      <c r="A57" s="2" t="s">
        <v>313</v>
      </c>
      <c r="B57" s="2" t="s">
        <v>9</v>
      </c>
      <c r="C57" s="2" t="s">
        <v>867</v>
      </c>
    </row>
    <row r="58" customFormat="false" ht="15.75" hidden="false" customHeight="false" outlineLevel="0" collapsed="false">
      <c r="A58" s="2" t="s">
        <v>867</v>
      </c>
      <c r="B58" s="2" t="s">
        <v>9</v>
      </c>
      <c r="C58" s="2" t="s">
        <v>867</v>
      </c>
      <c r="D58" s="2" t="s">
        <v>867</v>
      </c>
    </row>
    <row r="59" customFormat="false" ht="15.75" hidden="false" customHeight="false" outlineLevel="0" collapsed="false">
      <c r="A59" s="2" t="s">
        <v>868</v>
      </c>
      <c r="B59" s="2" t="s">
        <v>9</v>
      </c>
    </row>
    <row r="60" customFormat="false" ht="15.75" hidden="false" customHeight="false" outlineLevel="0" collapsed="false">
      <c r="A60" s="2" t="s">
        <v>797</v>
      </c>
      <c r="B60" s="2" t="s">
        <v>9</v>
      </c>
      <c r="C60" s="2" t="s">
        <v>475</v>
      </c>
      <c r="D60" s="2" t="s">
        <v>55</v>
      </c>
    </row>
    <row r="61" customFormat="false" ht="15.75" hidden="false" customHeight="false" outlineLevel="0" collapsed="false">
      <c r="A61" s="2" t="s">
        <v>775</v>
      </c>
      <c r="B61" s="2" t="s">
        <v>9</v>
      </c>
    </row>
    <row r="62" customFormat="false" ht="15.75" hidden="false" customHeight="false" outlineLevel="0" collapsed="false">
      <c r="A62" s="2" t="s">
        <v>869</v>
      </c>
      <c r="B62" s="2" t="s">
        <v>9</v>
      </c>
    </row>
    <row r="63" customFormat="false" ht="15.75" hidden="false" customHeight="false" outlineLevel="0" collapsed="false">
      <c r="A63" s="2" t="s">
        <v>82</v>
      </c>
      <c r="B63" s="2" t="s">
        <v>9</v>
      </c>
    </row>
    <row r="64" customFormat="false" ht="15.75" hidden="false" customHeight="false" outlineLevel="0" collapsed="false">
      <c r="A64" s="2" t="s">
        <v>870</v>
      </c>
      <c r="B64" s="2" t="s">
        <v>9</v>
      </c>
      <c r="C64" s="2" t="s">
        <v>838</v>
      </c>
      <c r="D64" s="2" t="s">
        <v>198</v>
      </c>
    </row>
    <row r="65" customFormat="false" ht="15.75" hidden="false" customHeight="false" outlineLevel="0" collapsed="false">
      <c r="A65" s="2" t="s">
        <v>871</v>
      </c>
      <c r="B65" s="2" t="s">
        <v>9</v>
      </c>
      <c r="C65" s="2" t="s">
        <v>871</v>
      </c>
    </row>
    <row r="66" customFormat="false" ht="15.75" hidden="false" customHeight="false" outlineLevel="0" collapsed="false">
      <c r="A66" s="2" t="s">
        <v>860</v>
      </c>
      <c r="B66" s="2" t="s">
        <v>9</v>
      </c>
      <c r="C66" s="2" t="s">
        <v>860</v>
      </c>
      <c r="D66" s="2" t="s">
        <v>860</v>
      </c>
    </row>
    <row r="67" customFormat="false" ht="15.75" hidden="false" customHeight="false" outlineLevel="0" collapsed="false">
      <c r="A67" s="2" t="s">
        <v>805</v>
      </c>
      <c r="B67" s="2" t="s">
        <v>9</v>
      </c>
      <c r="C67" s="2" t="s">
        <v>805</v>
      </c>
      <c r="D67" s="2" t="s">
        <v>198</v>
      </c>
    </row>
    <row r="68" customFormat="false" ht="15.75" hidden="false" customHeight="false" outlineLevel="0" collapsed="false">
      <c r="A68" s="2" t="s">
        <v>872</v>
      </c>
      <c r="B68" s="2" t="s">
        <v>9</v>
      </c>
      <c r="C68" s="2" t="s">
        <v>805</v>
      </c>
      <c r="D68" s="2" t="s">
        <v>198</v>
      </c>
    </row>
    <row r="69" customFormat="false" ht="15.75" hidden="false" customHeight="false" outlineLevel="0" collapsed="false">
      <c r="A69" s="2" t="s">
        <v>585</v>
      </c>
      <c r="B69" s="2" t="s">
        <v>9</v>
      </c>
      <c r="C69" s="2" t="s">
        <v>585</v>
      </c>
      <c r="D69" s="2" t="s">
        <v>198</v>
      </c>
    </row>
    <row r="70" customFormat="false" ht="15.75" hidden="false" customHeight="false" outlineLevel="0" collapsed="false">
      <c r="A70" s="2" t="s">
        <v>584</v>
      </c>
      <c r="B70" s="2" t="s">
        <v>9</v>
      </c>
      <c r="C70" s="2" t="s">
        <v>585</v>
      </c>
      <c r="D70" s="2" t="s">
        <v>198</v>
      </c>
    </row>
    <row r="71" customFormat="false" ht="15.75" hidden="false" customHeight="false" outlineLevel="0" collapsed="false">
      <c r="A71" s="2" t="s">
        <v>873</v>
      </c>
      <c r="B71" s="2" t="s">
        <v>9</v>
      </c>
      <c r="C71" s="2" t="s">
        <v>874</v>
      </c>
    </row>
    <row r="72" customFormat="false" ht="15.75" hidden="false" customHeight="false" outlineLevel="0" collapsed="false">
      <c r="A72" s="2" t="s">
        <v>875</v>
      </c>
      <c r="B72" s="2" t="s">
        <v>9</v>
      </c>
      <c r="C72" s="2" t="s">
        <v>875</v>
      </c>
    </row>
  </sheetData>
  <autoFilter ref="A1:D994">
    <sortState ref="A2:D994">
      <sortCondition ref="A2:A994"/>
    </sortState>
  </autoFilter>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LibreOffice/26.2.6.3$Linux_X86_64 LibreOffice_project/620$Build-3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2026-10-21T14:35:50Z</dcterms:modified>
  <cp:revision>1</cp:revision>
  <dc:subject/>
  <dc:title/>
</cp:coreProperties>
</file>